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2.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8000" tabRatio="886" firstSheet="0" activeTab="4" autoFilterDateGrouping="1"/>
  </bookViews>
  <sheets>
    <sheet name="Summary" sheetId="1" state="visible" r:id="rId1"/>
    <sheet name="Logical functions" sheetId="2" state="visible" r:id="rId2"/>
    <sheet name="AND OR Conditional" sheetId="3" state="visible" r:id="rId3"/>
    <sheet name="ISNUMBER, ISTEXT, ISERROR" sheetId="4" state="visible" r:id="rId4"/>
    <sheet name="Ex 1" sheetId="5" state="visible" r:id="rId5"/>
    <sheet name="Ex 2" sheetId="6" state="visible" r:id="rId6"/>
    <sheet name="Calculate Duplicates (+array)" sheetId="7" state="visible" r:id="rId7"/>
    <sheet name=" Advanced (logical functions)" sheetId="8" state="visible" r:id="rId8"/>
    <sheet name="Date&amp;Time_functions" sheetId="9" state="visible" r:id="rId9"/>
    <sheet name="DATEDIF" sheetId="10" state="visible" r:id="rId10"/>
    <sheet name="NETWORKDAYS, WORKDAY" sheetId="11" state="visible" r:id="rId11"/>
    <sheet name="Ex 3" sheetId="12" state="visible" r:id="rId12"/>
    <sheet name="Ex 4" sheetId="13" state="visible" r:id="rId13"/>
    <sheet name="Defined names" sheetId="14" state="visible" r:id="rId14"/>
  </sheets>
  <externalReferences>
    <externalReference r:id="rId15"/>
  </externalReferences>
  <definedNames>
    <definedName name="__123Graph_A" hidden="1">[1]은행!#REF!</definedName>
    <definedName name="__123Graph_B" hidden="1">[1]은행!#REF!</definedName>
    <definedName name="_I027611" hidden="1">{#N/A,#N/A,FALSE,"지침";#N/A,#N/A,FALSE,"환경분석";#N/A,#N/A,FALSE,"Sheet16"}</definedName>
    <definedName name="_Key1" hidden="1">#REF!</definedName>
    <definedName name="_Key2" hidden="1">#REF!</definedName>
    <definedName name="_o1" hidden="1">{"det (May)",#N/A,FALSE,"June";"sum (MAY YTD)",#N/A,FALSE,"June YTD"}</definedName>
    <definedName name="_Order1" hidden="1">255</definedName>
    <definedName name="_Order2" hidden="1">255</definedName>
    <definedName name="_P0376001" hidden="1">{#N/A,#N/A,FALSE,"지침";#N/A,#N/A,FALSE,"환경분석";#N/A,#N/A,FALSE,"Sheet16"}</definedName>
    <definedName name="_Sort" hidden="1">#REF!</definedName>
    <definedName name="_Table2_Out" hidden="1">#REF!</definedName>
    <definedName name="_tk2" hidden="1">{#N/A,#N/A,FALSE,"지침";#N/A,#N/A,FALSE,"환경분석";#N/A,#N/A,FALSE,"Sheet16"}</definedName>
    <definedName name="_xlcn.WorksheetConnection_T9A2C161" hidden="1">#REF!</definedName>
    <definedName name="ааа" hidden="1">{"det (May)",#N/A,FALSE,"June";"sum (MAY YTD)",#N/A,FALSE,"June YTD"}</definedName>
    <definedName name="ввв" hidden="1">{"det (May)",#N/A,FALSE,"June";"sum (MAY YTD)",#N/A,FALSE,"June YTD"}</definedName>
    <definedName name="нов" hidden="1">{"'Matrix'!$A$3:$J$47"}</definedName>
    <definedName name="A.???" hidden="1">{"det (May)",#N/A,FALSE,"June";"sum (MAY YTD)",#N/A,FALSE,"June YTD"}</definedName>
    <definedName name="A.I.AA" hidden="1">{"det (May)",#N/A,FALSE,"June";"sum (MAY YTD)",#N/A,FALSE,"June YTD"}</definedName>
    <definedName name="A.Ⅱ.i2" hidden="1">{"det (May)",#N/A,FALSE,"June";"sum (MAY YTD)",#N/A,FALSE,"June YTD"}</definedName>
    <definedName name="aa" hidden="1">{#N/A,#N/A,FALSE,"지침";#N/A,#N/A,FALSE,"환경분석";#N/A,#N/A,FALSE,"Sheet16"}</definedName>
    <definedName name="aaaa" hidden="1">{"det (May)",#N/A,FALSE,"June";"sum (MAY YTD)",#N/A,FALSE,"June YTD"}</definedName>
    <definedName name="aaaaa" hidden="1">{"det (May)",#N/A,FALSE,"June";"sum (MAY YTD)",#N/A,FALSE,"June YTD"}</definedName>
    <definedName name="abc" hidden="1">{"det (May)",#N/A,FALSE,"June";"sum (MAY YTD)",#N/A,FALSE,"June YTD"}</definedName>
    <definedName name="alt" hidden="1">{"det (May)",#N/A,FALSE,"June";"sum (MAY YTD)",#N/A,FALSE,"June YTD"}</definedName>
    <definedName name="ANNA" hidden="1">{"det (May)",#N/A,FALSE,"June";"sum (MAY YTD)",#N/A,FALSE,"June YTD"}</definedName>
    <definedName name="anscount" hidden="1">1</definedName>
    <definedName name="AS2DocOpenMode" hidden="1">"AS2DocumentBrowse"</definedName>
    <definedName name="asd" hidden="1">{"det (May)",#N/A,FALSE,"June";"sum (MAY YTD)",#N/A,FALSE,"June YTD"}</definedName>
    <definedName name="asdf" hidden="1">{"det (May)",#N/A,FALSE,"June";"sum (MAY YTD)",#N/A,FALSE,"June YTD"}</definedName>
    <definedName name="asdfasg" hidden="1">{"det (May)",#N/A,FALSE,"June";"sum (MAY YTD)",#N/A,FALSE,"June YTD"}</definedName>
    <definedName name="B.IV.r" hidden="1">{"det (May)",#N/A,FALSE,"June";"sum (MAY YTD)",#N/A,FALSE,"June YTD"}</definedName>
    <definedName name="B.IV.r.SBC" hidden="1">{"det (May)",#N/A,FALSE,"June";"sum (MAY YTD)",#N/A,FALSE,"June YTD"}</definedName>
    <definedName name="bb" hidden="1">{"'Matrix'!$A$3:$J$47"}</definedName>
    <definedName name="bbbb" hidden="1">{"'Matrix'!$A$3:$J$47"}</definedName>
    <definedName name="bhub" hidden="1">{"04-12brpr",#N/A,FALSE,"Total jan-dec";"05brpr",#N/A,FALSE,"Total jan-dec";"07brpr",#N/A,FALSE,"Total jan-dec";"01-12absdet",#N/A,FALSE,"Total jan-dec";"01-12abs",#N/A,FALSE,"Total jan-dec";"04-12abs",#N/A,FALSE,"Total jan-dec";"04-12absdet",#N/A,FALSE,"Total jan-dec";"01-12hl",#N/A,FALSE,"Total jan-dec";"04-12HL",#N/A,FALSE,"Total jan-dec"}</definedName>
    <definedName name="blb" hidden="1">{"det (May)",#N/A,FALSE,"June";"sum (MAY YTD)",#N/A,FALSE,"June YTD"}</definedName>
    <definedName name="BLPH1" hidden="1">#REF!</definedName>
    <definedName name="BLPH2" hidden="1">#REF!</definedName>
    <definedName name="book" hidden="1">{"det (May)",#N/A,FALSE,"June";"sum (MAY YTD)",#N/A,FALSE,"June YTD"}</definedName>
    <definedName name="CAPTURA2" hidden="1">{"'171'!$A$1:$Z$50"}</definedName>
    <definedName name="cccc" hidden="1">{"det (May)",#N/A,FALSE,"June";"sum (MAY YTD)",#N/A,FALSE,"June YTD"}</definedName>
    <definedName name="ccccc" hidden="1">{"'Matrix'!$A$3:$J$47"}</definedName>
    <definedName name="CURVA2" hidden="1">{"'171'!$A$1:$Z$50"}</definedName>
    <definedName name="DD" hidden="1">{#N/A,#N/A,FALSE,"지침";#N/A,#N/A,FALSE,"환경분석";#N/A,#N/A,FALSE,"Sheet16"}</definedName>
    <definedName name="DDD" hidden="1">{#N/A,#N/A,FALSE,"지침";#N/A,#N/A,FALSE,"환경분석";#N/A,#N/A,FALSE,"Sheet16"}</definedName>
    <definedName name="dddd" hidden="1">{"'Matrix'!$A$3:$J$47"}</definedName>
    <definedName name="ddddd" hidden="1">{"'Matrix'!$A$3:$J$47"}</definedName>
    <definedName name="dfdfgd" hidden="1">{"04-12brpr",#N/A,FALSE,"Total jan-dec";"05brpr",#N/A,FALSE,"Total jan-dec";"07brpr",#N/A,FALSE,"Total jan-dec";"01-12absdet",#N/A,FALSE,"Total jan-dec";"01-12abs",#N/A,FALSE,"Total jan-dec";"04-12abs",#N/A,FALSE,"Total jan-dec";"04-12absdet",#N/A,FALSE,"Total jan-dec";"01-12hl",#N/A,FALSE,"Total jan-dec";"04-12HL",#N/A,FALSE,"Total jan-dec"}</definedName>
    <definedName name="dfg" hidden="1">{#N/A,#N/A,FALSE,"지침";#N/A,#N/A,FALSE,"환경분석";#N/A,#N/A,FALSE,"Sheet16"}</definedName>
    <definedName name="dfgd" hidden="1">{"det (May)",#N/A,FALSE,"June";"sum (MAY YTD)",#N/A,FALSE,"June YTD"}</definedName>
    <definedName name="dfrhgzsdhsz" hidden="1">{"04-12brpr",#N/A,FALSE,"Total jan-dec";"05brpr",#N/A,FALSE,"Total jan-dec";"07brpr",#N/A,FALSE,"Total jan-dec";"01-12absdet",#N/A,FALSE,"Total jan-dec";"01-12abs",#N/A,FALSE,"Total jan-dec";"04-12abs",#N/A,FALSE,"Total jan-dec";"04-12absdet",#N/A,FALSE,"Total jan-dec";"01-12hl",#N/A,FALSE,"Total jan-dec";"04-12HL",#N/A,FALSE,"Total jan-dec"}</definedName>
    <definedName name="dfyjtjutj" hidden="1">{"det (May)",#N/A,FALSE,"June";"sum (MAY YTD)",#N/A,FALSE,"June YTD"}</definedName>
    <definedName name="dgdg" hidden="1">{"det (May)",#N/A,FALSE,"June";"sum (MAY YTD)",#N/A,FALSE,"June YTD"}</definedName>
    <definedName name="dgfdg" hidden="1">{"det (May)",#N/A,FALSE,"June";"sum (MAY YTD)",#N/A,FALSE,"June YTD"}</definedName>
    <definedName name="dhdh" hidden="1">{"det (May)",#N/A,FALSE,"June";"sum (MAY YTD)",#N/A,FALSE,"June YTD"}</definedName>
    <definedName name="dhgdfhgf" hidden="1">{"det (May)",#N/A,FALSE,"June";"sum (MAY YTD)",#N/A,FALSE,"June YTD"}</definedName>
    <definedName name="draft53" hidden="1">{"det (May)",#N/A,FALSE,"June";"sum (MAY YTD)",#N/A,FALSE,"June YTD"}</definedName>
    <definedName name="drftjtyjtyj" hidden="1">{"det (May)",#N/A,FALSE,"June";"sum (MAY YTD)",#N/A,FALSE,"June YTD"}</definedName>
    <definedName name="drtyjtyjuuj" hidden="1">{"det (May)",#N/A,FALSE,"June";"sum (MAY YTD)",#N/A,FALSE,"June YTD"}</definedName>
    <definedName name="dsvbgl" hidden="1">{"det (May)",#N/A,FALSE,"June";"sum (MAY YTD)",#N/A,FALSE,"June YTD"}</definedName>
    <definedName name="dtheth" hidden="1">{"det (May)",#N/A,FALSE,"June";"sum (MAY YTD)",#N/A,FALSE,"June YTD"}</definedName>
    <definedName name="dtjkdujktd" hidden="1">{"det (May)",#N/A,FALSE,"June";"sum (MAY YTD)",#N/A,FALSE,"June YTD"}</definedName>
    <definedName name="dtjtyjyt" hidden="1">{"det (May)",#N/A,FALSE,"June";"sum (MAY YTD)",#N/A,FALSE,"June YTD"}</definedName>
    <definedName name="dtyjdj" hidden="1">{"det (May)",#N/A,FALSE,"June";"sum (MAY YTD)",#N/A,FALSE,"June YTD"}</definedName>
    <definedName name="dtyjdtj" hidden="1">{"det (May)",#N/A,FALSE,"June";"sum (MAY YTD)",#N/A,FALSE,"June YTD"}</definedName>
    <definedName name="dtyjdtjt" hidden="1">{"det (May)",#N/A,FALSE,"June";"sum (MAY YTD)",#N/A,FALSE,"June YTD"}</definedName>
    <definedName name="dtyjtj" hidden="1">{"det (May)",#N/A,FALSE,"June";"sum (MAY YTD)",#N/A,FALSE,"June YTD"}</definedName>
    <definedName name="dtyjtjtyd" hidden="1">{"det (May)",#N/A,FALSE,"June";"sum (MAY YTD)",#N/A,FALSE,"June YTD"}</definedName>
    <definedName name="dtyjtjyt" hidden="1">{"det (May)",#N/A,FALSE,"June";"sum (MAY YTD)",#N/A,FALSE,"June YTD"}</definedName>
    <definedName name="dtytdyjtyj" hidden="1">{"det (May)",#N/A,FALSE,"June";"sum (MAY YTD)",#N/A,FALSE,"June YTD"}</definedName>
    <definedName name="dyjdjy" hidden="1">{"det (May)",#N/A,FALSE,"June";"sum (MAY YTD)",#N/A,FALSE,"June YTD"}</definedName>
    <definedName name="dyjdtjd" hidden="1">{"det (May)",#N/A,FALSE,"June";"sum (MAY YTD)",#N/A,FALSE,"June YTD"}</definedName>
    <definedName name="dyjtj" hidden="1">{"det (May)",#N/A,FALSE,"June";"sum (MAY YTD)",#N/A,FALSE,"June YTD"}</definedName>
    <definedName name="dyjtjyt" hidden="1">{"04-12brpr",#N/A,FALSE,"Total jan-dec";"05brpr",#N/A,FALSE,"Total jan-dec";"07brpr",#N/A,FALSE,"Total jan-dec";"01-12absdet",#N/A,FALSE,"Total jan-dec";"01-12abs",#N/A,FALSE,"Total jan-dec";"04-12abs",#N/A,FALSE,"Total jan-dec";"04-12absdet",#N/A,FALSE,"Total jan-dec";"01-12hl",#N/A,FALSE,"Total jan-dec";"04-12HL",#N/A,FALSE,"Total jan-dec"}</definedName>
    <definedName name="dyjtyj" hidden="1">{"det (May)",#N/A,FALSE,"June";"sum (MAY YTD)",#N/A,FALSE,"June YTD"}</definedName>
    <definedName name="dyjtyjuju" hidden="1">{"04-12brpr",#N/A,FALSE,"Total jan-dec";"05brpr",#N/A,FALSE,"Total jan-dec";"07brpr",#N/A,FALSE,"Total jan-dec";"01-12absdet",#N/A,FALSE,"Total jan-dec";"01-12abs",#N/A,FALSE,"Total jan-dec";"04-12abs",#N/A,FALSE,"Total jan-dec";"04-12absdet",#N/A,FALSE,"Total jan-dec";"01-12hl",#N/A,FALSE,"Total jan-dec";"04-12HL",#N/A,FALSE,"Total jan-dec"}</definedName>
    <definedName name="dyjtyjuykj" hidden="1">{"det (May)",#N/A,FALSE,"June";"sum (MAY YTD)",#N/A,FALSE,"June YTD"}</definedName>
    <definedName name="ee" hidden="1">{"det (May)",#N/A,FALSE,"June";"sum (MAY YTD)",#N/A,FALSE,"June YTD"}</definedName>
    <definedName name="eeee" hidden="1">{"'Matrix'!$A$3:$J$47"}</definedName>
    <definedName name="eirhg" hidden="1">{"det (May)",#N/A,FALSE,"June";"sum (MAY YTD)",#N/A,FALSE,"June YTD"}</definedName>
    <definedName name="eirnf" hidden="1">{"det (May)",#N/A,FALSE,"June";"sum (MAY YTD)",#N/A,FALSE,"June YTD"}</definedName>
    <definedName name="eroweir" hidden="1">{"det (May)",#N/A,FALSE,"June";"sum (MAY YTD)",#N/A,FALSE,"June YTD"}</definedName>
    <definedName name="etyjetje" hidden="1">{"det (May)",#N/A,FALSE,"June";"sum (MAY YTD)",#N/A,FALSE,"June YTD"}</definedName>
    <definedName name="etyjte" hidden="1">{"det (May)",#N/A,FALSE,"June";"sum (MAY YTD)",#N/A,FALSE,"June YTD"}</definedName>
    <definedName name="EV__LASTREFTIME__" hidden="1">"(GMT+03:00)12.05.2011 16:47:34"</definedName>
    <definedName name="ff" hidden="1">{"det (May)",#N/A,FALSE,"June";"sum (MAY YTD)",#N/A,FALSE,"June YTD"}</definedName>
    <definedName name="FFF" hidden="1">{#N/A,#N/A,FALSE,"지침";#N/A,#N/A,FALSE,"환경분석";#N/A,#N/A,FALSE,"Sheet16"}</definedName>
    <definedName name="fffffffffffff" hidden="1">{"'Matrix'!$A$3:$J$47"}</definedName>
    <definedName name="fghfg" hidden="1">{"det (May)",#N/A,FALSE,"June";"sum (MAY YTD)",#N/A,FALSE,"June YTD"}</definedName>
    <definedName name="fghfghf" hidden="1">{"det (May)",#N/A,FALSE,"June";"sum (MAY YTD)",#N/A,FALSE,"June YTD"}</definedName>
    <definedName name="fgnfgnf" hidden="1">{"det (May)",#N/A,FALSE,"June";"sum (MAY YTD)",#N/A,FALSE,"June YTD"}</definedName>
    <definedName name="fgnfxgnxfg" hidden="1">{"04-12brpr",#N/A,FALSE,"Total jan-dec";"05brpr",#N/A,FALSE,"Total jan-dec";"07brpr",#N/A,FALSE,"Total jan-dec";"01-12absdet",#N/A,FALSE,"Total jan-dec";"01-12abs",#N/A,FALSE,"Total jan-dec";"04-12abs",#N/A,FALSE,"Total jan-dec";"04-12absdet",#N/A,FALSE,"Total jan-dec";"01-12hl",#N/A,FALSE,"Total jan-dec";"04-12HL",#N/A,FALSE,"Total jan-dec"}</definedName>
    <definedName name="fgnmfnfg" hidden="1">{"det (May)",#N/A,FALSE,"June";"sum (MAY YTD)",#N/A,FALSE,"June YTD"}</definedName>
    <definedName name="fhfghf" hidden="1">{"det (May)",#N/A,FALSE,"June";"sum (MAY YTD)",#N/A,FALSE,"June YTD"}</definedName>
    <definedName name="fhgfhx" hidden="1">{"det (May)",#N/A,FALSE,"June";"sum (MAY YTD)",#N/A,FALSE,"June YTD"}</definedName>
    <definedName name="fhjfghf" hidden="1">{"det (May)",#N/A,FALSE,"June";"sum (MAY YTD)",#N/A,FALSE,"June YTD"}</definedName>
    <definedName name="fhmghmg" hidden="1">{"det (May)",#N/A,FALSE,"June";"sum (MAY YTD)",#N/A,FALSE,"June YTD"}</definedName>
    <definedName name="fhmhgmhj" hidden="1">{"04-12brpr",#N/A,FALSE,"Total jan-dec";"05brpr",#N/A,FALSE,"Total jan-dec";"07brpr",#N/A,FALSE,"Total jan-dec";"01-12absdet",#N/A,FALSE,"Total jan-dec";"01-12abs",#N/A,FALSE,"Total jan-dec";"04-12abs",#N/A,FALSE,"Total jan-dec";"04-12absdet",#N/A,FALSE,"Total jan-dec";"01-12hl",#N/A,FALSE,"Total jan-dec";"04-12HL",#N/A,FALSE,"Total jan-dec"}</definedName>
    <definedName name="fhshsf" hidden="1">{"det (May)",#N/A,FALSE,"June";"sum (MAY YTD)",#N/A,FALSE,"June YTD"}</definedName>
    <definedName name="Fig" hidden="1">{"det (May)",#N/A,FALSE,"June";"sum (MAY YTD)",#N/A,FALSE,"June YTD"}</definedName>
    <definedName name="fjhjgj" hidden="1">{"det (May)",#N/A,FALSE,"June";"sum (MAY YTD)",#N/A,FALSE,"June YTD"}</definedName>
    <definedName name="form" hidden="1">#REF!</definedName>
    <definedName name="GD" hidden="1">{#N/A,#N/A,FALSE,"지침";#N/A,#N/A,FALSE,"환경분석";#N/A,#N/A,FALSE,"Sheet16"}</definedName>
    <definedName name="gfdy" hidden="1">{#N/A,#N/A,FALSE,"지침";#N/A,#N/A,FALSE,"환경분석";#N/A,#N/A,FALSE,"Sheet16"}</definedName>
    <definedName name="ggggggggggggggg" hidden="1">{"'Matrix'!$A$3:$J$47"}</definedName>
    <definedName name="ghjghj" hidden="1">{"04-12brpr",#N/A,FALSE,"Total jan-dec";"05brpr",#N/A,FALSE,"Total jan-dec";"07brpr",#N/A,FALSE,"Total jan-dec";"01-12absdet",#N/A,FALSE,"Total jan-dec";"01-12abs",#N/A,FALSE,"Total jan-dec";"04-12abs",#N/A,FALSE,"Total jan-dec";"04-12absdet",#N/A,FALSE,"Total jan-dec";"01-12hl",#N/A,FALSE,"Total jan-dec";"04-12HL",#N/A,FALSE,"Total jan-dec"}</definedName>
    <definedName name="ghjghjg" hidden="1">{"det (May)",#N/A,FALSE,"June";"sum (MAY YTD)",#N/A,FALSE,"June YTD"}</definedName>
    <definedName name="ghjgjgh" hidden="1">{"det (May)",#N/A,FALSE,"June";"sum (MAY YTD)",#N/A,FALSE,"June YTD"}</definedName>
    <definedName name="ghmghm" hidden="1">{"det (May)",#N/A,FALSE,"June";"sum (MAY YTD)",#N/A,FALSE,"June YTD"}</definedName>
    <definedName name="ghmghmg" hidden="1">{"det (May)",#N/A,FALSE,"June";"sum (MAY YTD)",#N/A,FALSE,"June YTD"}</definedName>
    <definedName name="gjghjgh" hidden="1">{"det (May)",#N/A,FALSE,"June";"sum (MAY YTD)",#N/A,FALSE,"June YTD"}</definedName>
    <definedName name="guggygi" hidden="1">{"04-12brpr",#N/A,FALSE,"Total jan-dec";"05brpr",#N/A,FALSE,"Total jan-dec";"07brpr",#N/A,FALSE,"Total jan-dec";"01-12absdet",#N/A,FALSE,"Total jan-dec";"01-12abs",#N/A,FALSE,"Total jan-dec";"04-12abs",#N/A,FALSE,"Total jan-dec";"04-12absdet",#N/A,FALSE,"Total jan-dec";"01-12hl",#N/A,FALSE,"Total jan-dec";"04-12HL",#N/A,FALSE,"Total jan-dec"}</definedName>
    <definedName name="hgkujhk" hidden="1">{"det (May)",#N/A,FALSE,"June";"sum (MAY YTD)",#N/A,FALSE,"June YTD"}</definedName>
    <definedName name="hh" hidden="1">{"04-12brpr",#N/A,FALSE,"Total jan-dec";"05brpr",#N/A,FALSE,"Total jan-dec";"07brpr",#N/A,FALSE,"Total jan-dec";"01-12absdet",#N/A,FALSE,"Total jan-dec";"01-12abs",#N/A,FALSE,"Total jan-dec";"04-12abs",#N/A,FALSE,"Total jan-dec";"04-12absdet",#N/A,FALSE,"Total jan-dec";"01-12hl",#N/A,FALSE,"Total jan-dec";"04-12HL",#N/A,FALSE,"Total jan-dec"}</definedName>
    <definedName name="hhhhhhhhhhh" hidden="1">{"'Matrix'!$A$3:$J$47"}</definedName>
    <definedName name="hhhhhhhhhhhhh" hidden="1">{"'Matrix'!$A$3:$J$47"}</definedName>
    <definedName name="hjgj" hidden="1">{"det (May)",#N/A,FALSE,"June";"sum (MAY YTD)",#N/A,FALSE,"June YTD"}</definedName>
    <definedName name="hjhkjh" hidden="1">{"det (May)",#N/A,FALSE,"June";"sum (MAY YTD)",#N/A,FALSE,"June YTD"}</definedName>
    <definedName name="hjkhk" hidden="1">{"det (May)",#N/A,FALSE,"June";"sum (MAY YTD)",#N/A,FALSE,"June YTD"}</definedName>
    <definedName name="hjkjh" hidden="1">{"det (May)",#N/A,FALSE,"June";"sum (MAY YTD)",#N/A,FALSE,"June YTD"}</definedName>
    <definedName name="hmghj" hidden="1">{"det (May)",#N/A,FALSE,"June";"sum (MAY YTD)",#N/A,FALSE,"June YTD"}</definedName>
    <definedName name="htdfjty" hidden="1">{"det (May)",#N/A,FALSE,"June";"sum (MAY YTD)",#N/A,FALSE,"June YTD"}</definedName>
    <definedName name="HTML_CodePage" hidden="1">1251</definedName>
    <definedName name="HTML_Control" hidden="1">{"'RR'!$A$2:$E$81"}</definedName>
    <definedName name="HTML_Control2" hidden="1">{"'171'!$A$1:$Z$50"}</definedName>
    <definedName name="HTML_Description" hidden="1">""</definedName>
    <definedName name="HTML_Email" hidden="1">""</definedName>
    <definedName name="HTML_Header" hidden="1">"C_F"</definedName>
    <definedName name="HTML_LastUpdate" hidden="1">"14.07.00"</definedName>
    <definedName name="HTML_LineAfter" hidden="1">FALSE</definedName>
    <definedName name="HTML_LineBefore" hidden="1">FALSE</definedName>
    <definedName name="HTML_Name" hidden="1">"General Manager"</definedName>
    <definedName name="HTML_OBDlg2" hidden="1">TRUE</definedName>
    <definedName name="HTML_OBDlg4" hidden="1">TRUE</definedName>
    <definedName name="HTML_OS" hidden="1">0</definedName>
    <definedName name="HTML_PathFile" hidden="1">"C:\my_docs\MyHTML.htm"</definedName>
    <definedName name="HTML_Title" hidden="1">"Cash-wc2"</definedName>
    <definedName name="ic" hidden="1">{#N/A,#N/A,FALSE,"지침";#N/A,#N/A,FALSE,"환경분석";#N/A,#N/A,FALSE,"Sheet16"}</definedName>
    <definedName name="iogfrio" hidden="1">{"det (May)",#N/A,FALSE,"June";"sum (MAY YTD)",#N/A,FALSE,"June YTD"}</definedName>
    <definedName name="jdfjewf" hidden="1">{#N/A,#N/A,FALSE,"지침";#N/A,#N/A,FALSE,"환경분석";#N/A,#N/A,FALSE,"Sheet16"}</definedName>
    <definedName name="jdjytdj" hidden="1">{"det (May)",#N/A,FALSE,"June";"sum (MAY YTD)",#N/A,FALSE,"June YTD"}</definedName>
    <definedName name="jhgjhg" hidden="1">{"det (May)",#N/A,FALSE,"June";"sum (MAY YTD)",#N/A,FALSE,"June YTD"}</definedName>
    <definedName name="jhkhjk" hidden="1">{"04-12brpr",#N/A,FALSE,"Total jan-dec";"05brpr",#N/A,FALSE,"Total jan-dec";"07brpr",#N/A,FALSE,"Total jan-dec";"01-12absdet",#N/A,FALSE,"Total jan-dec";"01-12abs",#N/A,FALSE,"Total jan-dec";"04-12abs",#N/A,FALSE,"Total jan-dec";"04-12absdet",#N/A,FALSE,"Total jan-dec";"01-12hl",#N/A,FALSE,"Total jan-dec";"04-12HL",#N/A,FALSE,"Total jan-dec"}</definedName>
    <definedName name="jiop" hidden="1">{0,#N/A,FALSE,0;0,#N/A,FALSE,0;0,#N/A,FALSE,0;0,#N/A,FALSE,0;0,#N/A,FALSE,0;0,#N/A,FALSE,0;0,#N/A,FALSE,0;0,#N/A,FALSE,0}</definedName>
    <definedName name="jjjjjjjjjjjjjj" hidden="1">{"'Matrix'!$A$3:$J$47"}</definedName>
    <definedName name="jkgjkgh" hidden="1">{"det (May)",#N/A,FALSE,"June";"sum (MAY YTD)",#N/A,FALSE,"June YTD"}</definedName>
    <definedName name="jkljlkj" hidden="1">{"04-12brpr",#N/A,FALSE,"Total jan-dec";"05brpr",#N/A,FALSE,"Total jan-dec";"07brpr",#N/A,FALSE,"Total jan-dec";"01-12absdet",#N/A,FALSE,"Total jan-dec";"01-12abs",#N/A,FALSE,"Total jan-dec";"04-12abs",#N/A,FALSE,"Total jan-dec";"04-12absdet",#N/A,FALSE,"Total jan-dec";"01-12hl",#N/A,FALSE,"Total jan-dec";"04-12HL",#N/A,FALSE,"Total jan-dec"}</definedName>
    <definedName name="jljl" hidden="1">{"det (May)",#N/A,FALSE,"June";"sum (MAY YTD)",#N/A,FALSE,"June YTD"}</definedName>
    <definedName name="jljljljl" hidden="1">{"det (May)",#N/A,FALSE,"June";"sum (MAY YTD)",#N/A,FALSE,"June YTD"}</definedName>
    <definedName name="jljlx" hidden="1">{"det (May)",#N/A,FALSE,"June";"sum (MAY YTD)",#N/A,FALSE,"June YTD"}</definedName>
    <definedName name="k" hidden="1">{"det (May)",#N/A,FALSE,"June";"sum (MAY YTD)",#N/A,FALSE,"June YTD"}</definedName>
    <definedName name="kegs" hidden="1">{"det (May)",#N/A,FALSE,"June";"sum (MAY YTD)",#N/A,FALSE,"June YTD"}</definedName>
    <definedName name="kegsx" hidden="1">{"det (May)",#N/A,FALSE,"June";"sum (MAY YTD)",#N/A,FALSE,"June YTD"}</definedName>
    <definedName name="KJ" hidden="1">{#N/A,#N/A,FALSE,"지침";#N/A,#N/A,FALSE,"환경분석";#N/A,#N/A,FALSE,"Sheet16"}</definedName>
    <definedName name="kljlklj" hidden="1">{"det (May)",#N/A,FALSE,"June";"sum (MAY YTD)",#N/A,FALSE,"June YTD"}</definedName>
    <definedName name="kx" hidden="1">{"det (May)",#N/A,FALSE,"June";"sum (MAY YTD)",#N/A,FALSE,"June YTD"}</definedName>
    <definedName name="LAURA" hidden="1">{"04-12brpr",#N/A,FALSE,"Total jan-dec";"05brpr",#N/A,FALSE,"Total jan-dec";"07brpr",#N/A,FALSE,"Total jan-dec";"01-12absdet",#N/A,FALSE,"Total jan-dec";"01-12abs",#N/A,FALSE,"Total jan-dec";"04-12abs",#N/A,FALSE,"Total jan-dec";"04-12absdet",#N/A,FALSE,"Total jan-dec";"01-12hl",#N/A,FALSE,"Total jan-dec";"04-12HL",#N/A,FALSE,"Total jan-dec"}</definedName>
    <definedName name="laurax" hidden="1">{"04-12brpr",#N/A,FALSE,"Total jan-dec";"05brpr",#N/A,FALSE,"Total jan-dec";"07brpr",#N/A,FALSE,"Total jan-dec";"01-12absdet",#N/A,FALSE,"Total jan-dec";"01-12abs",#N/A,FALSE,"Total jan-dec";"04-12abs",#N/A,FALSE,"Total jan-dec";"04-12absdet",#N/A,FALSE,"Total jan-dec";"01-12hl",#N/A,FALSE,"Total jan-dec";"04-12HL",#N/A,FALSE,"Total jan-dec"}</definedName>
    <definedName name="LEE" hidden="1">{"det (May)",#N/A,FALSE,"June";"sum (MAY YTD)",#N/A,FALSE,"June YTD"}</definedName>
    <definedName name="limcount" hidden="1">1</definedName>
    <definedName name="m" hidden="1">{"'Matrix'!$A$3:$J$47"}</definedName>
    <definedName name="mktg" hidden="1">{#N/A,#N/A,FALSE,"지침";#N/A,#N/A,FALSE,"환경분석";#N/A,#N/A,FALSE,"Sheet16"}</definedName>
    <definedName name="mmmmmmmm" hidden="1">{"'Matrix'!$A$3:$J$47"}</definedName>
    <definedName name="nn" hidden="1">{"det (May)",#N/A,FALSE,"June";"sum (MAY YTD)",#N/A,FALSE,"June YTD"}</definedName>
    <definedName name="o" hidden="1">{"det (May)",#N/A,FALSE,"June";"sum (MAY YTD)",#N/A,FALSE,"June YTD"}</definedName>
    <definedName name="o1x" hidden="1">{"det (May)",#N/A,FALSE,"June";"sum (MAY YTD)",#N/A,FALSE,"June YTD"}</definedName>
    <definedName name="okbari" hidden="1">{"det (May)",#N/A,FALSE,"June";"sum (MAY YTD)",#N/A,FALSE,"June YTD"}</definedName>
    <definedName name="okbaria" hidden="1">{"det (May)",#N/A,FALSE,"June";"sum (MAY YTD)",#N/A,FALSE,"June YTD"}</definedName>
    <definedName name="okbaric" hidden="1">{"det (May)",#N/A,FALSE,"June";"sum (MAY YTD)",#N/A,FALSE,"June YTD"}</definedName>
    <definedName name="opo" hidden="1">{#N/A,#N/A,FALSE,"지침";#N/A,#N/A,FALSE,"환경분석";#N/A,#N/A,FALSE,"Sheet16"}</definedName>
    <definedName name="ox" hidden="1">{"det (May)",#N/A,FALSE,"June";"sum (MAY YTD)",#N/A,FALSE,"June YTD"}</definedName>
    <definedName name="POA" hidden="1">{"det (May)",#N/A,FALSE,"June";"sum (MAY YTD)",#N/A,FALSE,"June YTD"}</definedName>
    <definedName name="PRO" hidden="1">{"det (May)",#N/A,FALSE,"June";"sum (MAY YTD)",#N/A,FALSE,"June YTD"}</definedName>
    <definedName name="rfiuogft" hidden="1">{"04-12brpr",#N/A,FALSE,"Total jan-dec";"05brpr",#N/A,FALSE,"Total jan-dec";"07brpr",#N/A,FALSE,"Total jan-dec";"01-12absdet",#N/A,FALSE,"Total jan-dec";"01-12abs",#N/A,FALSE,"Total jan-dec";"04-12abs",#N/A,FALSE,"Total jan-dec";"04-12absdet",#N/A,FALSE,"Total jan-dec";"01-12hl",#N/A,FALSE,"Total jan-dec";"04-12HL",#N/A,FALSE,"Total jan-dec"}</definedName>
    <definedName name="rieifr" hidden="1">{"det (May)",#N/A,FALSE,"June";"sum (MAY YTD)",#N/A,FALSE,"June YTD"}</definedName>
    <definedName name="rieis" hidden="1">{"det (May)",#N/A,FALSE,"June";"sum (MAY YTD)",#N/A,FALSE,"June YTD"}</definedName>
    <definedName name="roic" hidden="1">{#N/A,#N/A,FALSE,"model"}</definedName>
    <definedName name="rr" hidden="1">{"'Matrix'!$A$3:$J$47"}</definedName>
    <definedName name="rrr" hidden="1">{0,#N/A,FALSE,0;0,#N/A,FALSE,0;0,#N/A,FALSE,0;0,#N/A,FALSE,0;0,#N/A,FALSE,0;0,#N/A,FALSE,0;0,#N/A,FALSE,0;0,#N/A,FALSE,0}</definedName>
    <definedName name="rrrrr" hidden="1">{"'Matrix'!$A$3:$J$47"}</definedName>
    <definedName name="rrrrrrrrr" hidden="1">{"'Matrix'!$A$3:$J$47"}</definedName>
    <definedName name="rthrfthr" hidden="1">{"04-12brpr",#N/A,FALSE,"Total jan-dec";"05brpr",#N/A,FALSE,"Total jan-dec";"07brpr",#N/A,FALSE,"Total jan-dec";"01-12absdet",#N/A,FALSE,"Total jan-dec";"01-12abs",#N/A,FALSE,"Total jan-dec";"04-12abs",#N/A,FALSE,"Total jan-dec";"04-12absdet",#N/A,FALSE,"Total jan-dec";"01-12hl",#N/A,FALSE,"Total jan-dec";"04-12HL",#N/A,FALSE,"Total jan-dec"}</definedName>
    <definedName name="rthrghrt" hidden="1">{"det (May)",#N/A,FALSE,"June";"sum (MAY YTD)",#N/A,FALSE,"June YTD"}</definedName>
    <definedName name="rx" hidden="1">{"04-12brpr",#N/A,FALSE,"Total jan-dec";"05brpr",#N/A,FALSE,"Total jan-dec";"07brpr",#N/A,FALSE,"Total jan-dec";"01-12absdet",#N/A,FALSE,"Total jan-dec";"01-12abs",#N/A,FALSE,"Total jan-dec";"04-12abs",#N/A,FALSE,"Total jan-dec";"04-12absdet",#N/A,FALSE,"Total jan-dec";"01-12hl",#N/A,FALSE,"Total jan-dec";"04-12HL",#N/A,FALSE,"Total jan-dec"}</definedName>
    <definedName name="rxi" hidden="1">{"det (May)",#N/A,FALSE,"June";"sum (MAY YTD)",#N/A,FALSE,"June YTD"}</definedName>
    <definedName name="savings" hidden="1">{#N/A,#N/A,FALSE,"지침";#N/A,#N/A,FALSE,"환경분석";#N/A,#N/A,FALSE,"Sheet16"}</definedName>
    <definedName name="Scaba" hidden="1">{#N/A,#N/A,FALSE,"지침";#N/A,#N/A,FALSE,"환경분석";#N/A,#N/A,FALSE,"Sheet16"}</definedName>
    <definedName name="sdfsg" hidden="1">{"04-12brpr",#N/A,FALSE,"Total jan-dec";"05brpr",#N/A,FALSE,"Total jan-dec";"07brpr",#N/A,FALSE,"Total jan-dec";"01-12absdet",#N/A,FALSE,"Total jan-dec";"01-12abs",#N/A,FALSE,"Total jan-dec";"04-12abs",#N/A,FALSE,"Total jan-dec";"04-12absdet",#N/A,FALSE,"Total jan-dec";"01-12hl",#N/A,FALSE,"Total jan-dec";"04-12HL",#N/A,FALSE,"Total jan-dec"}</definedName>
    <definedName name="sdg" hidden="1">{#N/A,#N/A,FALSE,"지침";#N/A,#N/A,FALSE,"환경분석";#N/A,#N/A,FALSE,"Sheet16"}</definedName>
    <definedName name="sencount" hidden="1">1</definedName>
    <definedName name="sfghd" hidden="1">{"det (May)",#N/A,FALSE,"June";"sum (MAY YTD)",#N/A,FALSE,"June YTD"}</definedName>
    <definedName name="sheet1" hidden="1">{#N/A,#N/A,FALSE,"지침";#N/A,#N/A,FALSE,"환경분석";#N/A,#N/A,FALSE,"Sheet16"}</definedName>
    <definedName name="Sheet5bvhjvgkghk" hidden="1">{"det (May)",#N/A,FALSE,"June";"sum (MAY YTD)",#N/A,FALSE,"June YTD"}</definedName>
    <definedName name="sici" hidden="1">{"det (May)",#N/A,FALSE,"June";"sum (MAY YTD)",#N/A,FALSE,"June YTD"}</definedName>
    <definedName name="slov" hidden="1">{"04-12brpr",#N/A,FALSE,"Total jan-dec";"05brpr",#N/A,FALSE,"Total jan-dec";"07brpr",#N/A,FALSE,"Total jan-dec";"01-12absdet",#N/A,FALSE,"Total jan-dec";"01-12abs",#N/A,FALSE,"Total jan-dec";"04-12abs",#N/A,FALSE,"Total jan-dec";"04-12absdet",#N/A,FALSE,"Total jan-dec";"01-12hl",#N/A,FALSE,"Total jan-dec";"04-12HL",#N/A,FALSE,"Total jan-dec"}</definedName>
    <definedName name="slovx" hidden="1">{"04-12brpr",#N/A,FALSE,"Total jan-dec";"05brpr",#N/A,FALSE,"Total jan-dec";"07brpr",#N/A,FALSE,"Total jan-dec";"01-12absdet",#N/A,FALSE,"Total jan-dec";"01-12abs",#N/A,FALSE,"Total jan-dec";"04-12abs",#N/A,FALSE,"Total jan-dec";"04-12absdet",#N/A,FALSE,"Total jan-dec";"01-12hl",#N/A,FALSE,"Total jan-dec";"04-12HL",#N/A,FALSE,"Total jan-dec"}</definedName>
    <definedName name="so" hidden="1">{#N/A,#N/A,FALSE,"지침";#N/A,#N/A,FALSE,"환경분석";#N/A,#N/A,FALSE,"Sheet16"}</definedName>
    <definedName name="Soft" hidden="1">{"det (May)",#N/A,FALSE,"June";"sum (MAY YTD)",#N/A,FALSE,"June YTD"}</definedName>
    <definedName name="softx" hidden="1">{"det (May)",#N/A,FALSE,"June";"sum (MAY YTD)",#N/A,FALSE,"June YTD"}</definedName>
    <definedName name="srthrhrt" hidden="1">{"det (May)",#N/A,FALSE,"June";"sum (MAY YTD)",#N/A,FALSE,"June YTD"}</definedName>
    <definedName name="srthtrhjytj" hidden="1">{"det (May)",#N/A,FALSE,"June";"sum (MAY YTD)",#N/A,FALSE,"June YTD"}</definedName>
    <definedName name="srtjstjytj" hidden="1">{"det (May)",#N/A,FALSE,"June";"sum (MAY YTD)",#N/A,FALSE,"June YTD"}</definedName>
    <definedName name="srtjtyjtyj" hidden="1">{"det (May)",#N/A,FALSE,"June";"sum (MAY YTD)",#N/A,FALSE,"June YTD"}</definedName>
    <definedName name="srtyjtyjtyj" hidden="1">{"04-12brpr",#N/A,FALSE,"Total jan-dec";"05brpr",#N/A,FALSE,"Total jan-dec";"07brpr",#N/A,FALSE,"Total jan-dec";"01-12absdet",#N/A,FALSE,"Total jan-dec";"01-12abs",#N/A,FALSE,"Total jan-dec";"04-12abs",#N/A,FALSE,"Total jan-dec";"04-12absdet",#N/A,FALSE,"Total jan-dec";"01-12hl",#N/A,FALSE,"Total jan-dec";"04-12HL",#N/A,FALSE,"Total jan-dec"}</definedName>
    <definedName name="ss" hidden="1">{"'RR'!$A$2:$E$81"}</definedName>
    <definedName name="sss" hidden="1">{"'RR'!$A$2:$E$81"}</definedName>
    <definedName name="stella" hidden="1">{"det (May)",#N/A,FALSE,"June";"sum (MAY YTD)",#N/A,FALSE,"June YTD"}</definedName>
    <definedName name="stellax" hidden="1">{"det (May)",#N/A,FALSE,"June";"sum (MAY YTD)",#N/A,FALSE,"June YTD"}</definedName>
    <definedName name="sthstghr" hidden="1">{"det (May)",#N/A,FALSE,"June";"sum (MAY YTD)",#N/A,FALSE,"June YTD"}</definedName>
    <definedName name="tdjytjd" hidden="1">{"04-12brpr",#N/A,FALSE,"Total jan-dec";"05brpr",#N/A,FALSE,"Total jan-dec";"07brpr",#N/A,FALSE,"Total jan-dec";"01-12absdet",#N/A,FALSE,"Total jan-dec";"01-12abs",#N/A,FALSE,"Total jan-dec";"04-12abs",#N/A,FALSE,"Total jan-dec";"04-12absdet",#N/A,FALSE,"Total jan-dec";"01-12hl",#N/A,FALSE,"Total jan-dec";"04-12HL",#N/A,FALSE,"Total jan-dec"}</definedName>
    <definedName name="tjdtjytg" hidden="1">{"det (May)",#N/A,FALSE,"June";"sum (MAY YTD)",#N/A,FALSE,"June YTD"}</definedName>
    <definedName name="tkuku" hidden="1">{"det (May)",#N/A,FALSE,"June";"sum (MAY YTD)",#N/A,FALSE,"June YTD"}</definedName>
    <definedName name="trjtyj" hidden="1">{"04-12brpr",#N/A,FALSE,"Total jan-dec";"05brpr",#N/A,FALSE,"Total jan-dec";"07brpr",#N/A,FALSE,"Total jan-dec";"01-12absdet",#N/A,FALSE,"Total jan-dec";"01-12abs",#N/A,FALSE,"Total jan-dec";"04-12abs",#N/A,FALSE,"Total jan-dec";"04-12absdet",#N/A,FALSE,"Total jan-dec";"01-12hl",#N/A,FALSE,"Total jan-dec";"04-12HL",#N/A,FALSE,"Total jan-dec"}</definedName>
    <definedName name="ttttt" hidden="1">{#N/A,#N/A,FALSE,"지침";#N/A,#N/A,FALSE,"환경분석";#N/A,#N/A,FALSE,"Sheet16"}</definedName>
    <definedName name="ty" hidden="1">{0,#N/A,FALSE,0;0,#N/A,FALSE,0}</definedName>
    <definedName name="tyjdyj" hidden="1">{"det (May)",#N/A,FALSE,"June";"sum (MAY YTD)",#N/A,FALSE,"June YTD"}</definedName>
    <definedName name="tyjtjd" hidden="1">{"det (May)",#N/A,FALSE,"June";"sum (MAY YTD)",#N/A,FALSE,"June YTD"}</definedName>
    <definedName name="tyjtyhfrth" hidden="1">{"det (May)",#N/A,FALSE,"June";"sum (MAY YTD)",#N/A,FALSE,"June YTD"}</definedName>
    <definedName name="tyktykdty" hidden="1">{"04-12brpr",#N/A,FALSE,"Total jan-dec";"05brpr",#N/A,FALSE,"Total jan-dec";"07brpr",#N/A,FALSE,"Total jan-dec";"01-12absdet",#N/A,FALSE,"Total jan-dec";"01-12abs",#N/A,FALSE,"Total jan-dec";"04-12abs",#N/A,FALSE,"Total jan-dec";"04-12absdet",#N/A,FALSE,"Total jan-dec";"01-12hl",#N/A,FALSE,"Total jan-dec";"04-12HL",#N/A,FALSE,"Total jan-dec"}</definedName>
    <definedName name="tykukyu" hidden="1">{"04-12brpr",#N/A,FALSE,"Total jan-dec";"05brpr",#N/A,FALSE,"Total jan-dec";"07brpr",#N/A,FALSE,"Total jan-dec";"01-12absdet",#N/A,FALSE,"Total jan-dec";"01-12abs",#N/A,FALSE,"Total jan-dec";"04-12abs",#N/A,FALSE,"Total jan-dec";"04-12absdet",#N/A,FALSE,"Total jan-dec";"01-12hl",#N/A,FALSE,"Total jan-dec";"04-12HL",#N/A,FALSE,"Total jan-dec"}</definedName>
    <definedName name="tyujtujty" hidden="1">{"04-12brpr",#N/A,FALSE,"Total jan-dec";"05brpr",#N/A,FALSE,"Total jan-dec";"07brpr",#N/A,FALSE,"Total jan-dec";"01-12absdet",#N/A,FALSE,"Total jan-dec";"01-12abs",#N/A,FALSE,"Total jan-dec";"04-12abs",#N/A,FALSE,"Total jan-dec";"04-12absdet",#N/A,FALSE,"Total jan-dec";"01-12hl",#N/A,FALSE,"Total jan-dec";"04-12HL",#N/A,FALSE,"Total jan-dec"}</definedName>
    <definedName name="ukdtuykfk" hidden="1">{"det (May)",#N/A,FALSE,"June";"sum (MAY YTD)",#N/A,FALSE,"June YTD"}</definedName>
    <definedName name="utluilu" hidden="1">{"det (May)",#N/A,FALSE,"June";"sum (MAY YTD)",#N/A,FALSE,"June YTD"}</definedName>
    <definedName name="VARI" hidden="1">{#N/A,#N/A,FALSE,"지침";#N/A,#N/A,FALSE,"환경분석";#N/A,#N/A,FALSE,"Sheet16"}</definedName>
    <definedName name="VARIA" hidden="1">{#N/A,#N/A,FALSE,"지침";#N/A,#N/A,FALSE,"환경분석";#N/A,#N/A,FALSE,"Sheet16"}</definedName>
    <definedName name="w.forecast" hidden="1">{#N/A,#N/A,FALSE,"model"}</definedName>
    <definedName name="w.forecast2" hidden="1">{#N/A,#N/A,FALSE,"model"}</definedName>
    <definedName name="w2.forecast" hidden="1">{#N/A,#N/A,FALSE,"model"}</definedName>
    <definedName name="wer" hidden="1">{#N/A,#N/A,FALSE,"지침";#N/A,#N/A,FALSE,"환경분석";#N/A,#N/A,FALSE,"Sheet16"}</definedName>
    <definedName name="werftdsfgdfg" hidden="1">{"det (May)",#N/A,FALSE,"June";"sum (MAY YTD)",#N/A,FALSE,"June YTD"}</definedName>
    <definedName name="wgyerhy" hidden="1">{#N/A,#N/A,FALSE,"지침";#N/A,#N/A,FALSE,"환경분석";#N/A,#N/A,FALSE,"Sheet16"}</definedName>
    <definedName name="wrg.aug" hidden="1">{"det (May)",#N/A,FALSE,"June";"sum (MAY YTD)",#N/A,FALSE,"June YTD"}</definedName>
    <definedName name="wrn.97." hidden="1">{#N/A,#N/A,FALSE,"지침";#N/A,#N/A,FALSE,"환경분석";#N/A,#N/A,FALSE,"Sheet16"}</definedName>
    <definedName name="wrn.ALL." hidden="1">{#N/A,#N/A,FALSE,"DCF";#N/A,#N/A,FALSE,"WACC";#N/A,#N/A,FALSE,"Sales_EBIT";#N/A,#N/A,FALSE,"Capex_Depreciation";#N/A,#N/A,FALSE,"WC";#N/A,#N/A,FALSE,"Interest";#N/A,#N/A,FALSE,"Assumptions"}</definedName>
    <definedName name="wrn.aug" hidden="1">{"det (May)",#N/A,FALSE,"June";"sum (MAY YTD)",#N/A,FALSE,"June YTD"}</definedName>
    <definedName name="wrn.augyt" hidden="1">{"det (May)",#N/A,FALSE,"June";"sum (MAY YTD)",#N/A,FALSE,"June YTD"}</definedName>
    <definedName name="wrn.augYTD" hidden="1">{"det (May)",#N/A,FALSE,"June";"sum (MAY YTD)",#N/A,FALSE,"June YTD"}</definedName>
    <definedName name="wrn.augYTDx" hidden="1">{"det (May)",#N/A,FALSE,"June";"sum (MAY YTD)",#N/A,FALSE,"June YTD"}</definedName>
    <definedName name="wrn.augytx" hidden="1">{"det (May)",#N/A,FALSE,"June";"sum (MAY YTD)",#N/A,FALSE,"June YTD"}</definedName>
    <definedName name="wrn.brol." hidden="1">{"04-12brpr",#N/A,FALSE,"Total jan-dec";"05brpr",#N/A,FALSE,"Total jan-dec";"07brpr",#N/A,FALSE,"Total jan-dec";"01-12absdet",#N/A,FALSE,"Total jan-dec";"01-12abs",#N/A,FALSE,"Total jan-dec";"04-12abs",#N/A,FALSE,"Total jan-dec";"04-12absdet",#N/A,FALSE,"Total jan-dec";"01-12hl",#N/A,FALSE,"Total jan-dec";"04-12HL",#N/A,FALSE,"Total jan-dec"}</definedName>
    <definedName name="wrn.Coded._.IAS._.FS." hidden="1">{"IASTrail",#N/A,FALSE,"IAS"}</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Fixed._.Assets._.Note._.and._.Depreciation." hidden="1">{#N/A,#N/A,FALSE,"FA_1";#N/A,#N/A,FALSE,"Dep'n SE";#N/A,#N/A,FALSE,"Dep'n FC"}</definedName>
    <definedName name="wrn.forecast." hidden="1">{#N/A,#N/A,FALSE,"model"}</definedName>
    <definedName name="wrn.forecast2" hidden="1">{#N/A,#N/A,FALSE,"model"}</definedName>
    <definedName name="wrn.forecastassumptions." hidden="1">{#N/A,#N/A,FALSE,"model"}</definedName>
    <definedName name="wrn.forecastassumptions2" hidden="1">{#N/A,#N/A,FALSE,"model"}</definedName>
    <definedName name="wrn.forecastROIC." hidden="1">{#N/A,#N/A,FALSE,"model"}</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Help." hidden="1">{#N/A,#N/A,TRUE,"MAP";#N/A,#N/A,TRUE,"STEPS";#N/A,#N/A,TRUE,"RULES"}</definedName>
    <definedName name="wrn.history." hidden="1">{#N/A,#N/A,FALSE,"model"}</definedName>
    <definedName name="wrn.histROIC." hidden="1">{#N/A,#N/A,FALSE,"model"}</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flation._.factors._.used." hidden="1">{#N/A,#N/A,FALSE,"Infl_fact"}</definedName>
    <definedName name="wrn.June." hidden="1">{"det (May)",#N/A,FALSE,"June";"sum (MAY YTD)",#N/A,FALSE,"June YTD"}</definedName>
    <definedName name="wrn.PL._.Analysis." hidden="1">{"AnalRSA",#N/A,TRUE,"PL-Anal";"AnalIAS",#N/A,TRUE,"PL-Anal"}</definedName>
    <definedName name="wrn.ptp." hidden="1">{#N/A,#N/A,FALSE,"RELATÓRIO";#N/A,#N/A,FALSE,"RELATÓRIO"}</definedName>
    <definedName name="wrn.RSA._.BS._.and._.PL." hidden="1">{"BS1",#N/A,TRUE,"RSA_FS";"BS2",#N/A,TRUE,"RSA_FS";"BS3",#N/A,TRUE,"RSA_FS"}</definedName>
    <definedName name="wrn1.aug" hidden="1">{"det (May)",#N/A,FALSE,"June";"sum (MAY YTD)",#N/A,FALSE,"June YTD"}</definedName>
    <definedName name="wrn1.augtyd" hidden="1">{"det (May)",#N/A,FALSE,"June";"sum (MAY YTD)",#N/A,FALSE,"June YTD"}</definedName>
    <definedName name="wrn1.augyt" hidden="1">{"det (May)",#N/A,FALSE,"June";"sum (MAY YTD)",#N/A,FALSE,"June YTD"}</definedName>
    <definedName name="wrn1.brol" hidden="1">{"04-12brpr",#N/A,FALSE,"Total jan-dec";"05brpr",#N/A,FALSE,"Total jan-dec";"07brpr",#N/A,FALSE,"Total jan-dec";"01-12absdet",#N/A,FALSE,"Total jan-dec";"01-12abs",#N/A,FALSE,"Total jan-dec";"04-12abs",#N/A,FALSE,"Total jan-dec";"04-12absdet",#N/A,FALSE,"Total jan-dec";"01-12hl",#N/A,FALSE,"Total jan-dec";"04-12HL",#N/A,FALSE,"Total jan-dec"}</definedName>
    <definedName name="wrn1.june" hidden="1">{"det (May)",#N/A,FALSE,"June";"sum (MAY YTD)",#N/A,FALSE,"June YTD"}</definedName>
    <definedName name="wrn2.brol" hidden="1">{"04-12brpr",#N/A,FALSE,"Total jan-dec";"05brpr",#N/A,FALSE,"Total jan-dec";"07brpr",#N/A,FALSE,"Total jan-dec";"01-12absdet",#N/A,FALSE,"Total jan-dec";"01-12abs",#N/A,FALSE,"Total jan-dec";"04-12abs",#N/A,FALSE,"Total jan-dec";"04-12absdet",#N/A,FALSE,"Total jan-dec";"01-12hl",#N/A,FALSE,"Total jan-dec";"04-12HL",#N/A,FALSE,"Total jan-dec"}</definedName>
    <definedName name="wrn2.june" hidden="1">{"det (May)",#N/A,FALSE,"June";"sum (MAY YTD)",#N/A,FALSE,"June YTD"}</definedName>
    <definedName name="ww" hidden="1">{"det (May)",#N/A,FALSE,"June";"sum (MAY YTD)",#N/A,FALSE,"June YTD"}</definedName>
    <definedName name="WWW" hidden="1">{"'Matrix'!$A$3:$J$47"}</definedName>
    <definedName name="xfjxfgj" hidden="1">{"det (May)",#N/A,FALSE,"June";"sum (MAY YTD)",#N/A,FALSE,"June YTD"}</definedName>
    <definedName name="xfjxfj" hidden="1">{"det (May)",#N/A,FALSE,"June";"sum (MAY YTD)",#N/A,FALSE,"June YTD"}</definedName>
    <definedName name="xgfngfnf" hidden="1">{"det (May)",#N/A,FALSE,"June";"sum (MAY YTD)",#N/A,FALSE,"June YTD"}</definedName>
    <definedName name="xieir" hidden="1">{"04-12brpr",#N/A,FALSE,"Total jan-dec";"05brpr",#N/A,FALSE,"Total jan-dec";"07brpr",#N/A,FALSE,"Total jan-dec";"01-12absdet",#N/A,FALSE,"Total jan-dec";"01-12abs",#N/A,FALSE,"Total jan-dec";"04-12abs",#N/A,FALSE,"Total jan-dec";"04-12absdet",#N/A,FALSE,"Total jan-dec";"01-12hl",#N/A,FALSE,"Total jan-dec";"04-12HL",#N/A,FALSE,"Total jan-dec"}</definedName>
    <definedName name="xir" hidden="1">{"det (May)",#N/A,FALSE,"June";"sum (MAY YTD)",#N/A,FALSE,"June YTD"}</definedName>
    <definedName name="xkdirhj" hidden="1">{"det (May)",#N/A,FALSE,"June";"sum (MAY YTD)",#N/A,FALSE,"June YTD"}</definedName>
    <definedName name="xkei0ori" hidden="1">{"04-12brpr",#N/A,FALSE,"Total jan-dec";"05brpr",#N/A,FALSE,"Total jan-dec";"07brpr",#N/A,FALSE,"Total jan-dec";"01-12absdet",#N/A,FALSE,"Total jan-dec";"01-12abs",#N/A,FALSE,"Total jan-dec";"04-12abs",#N/A,FALSE,"Total jan-dec";"04-12absdet",#N/A,FALSE,"Total jan-dec";"01-12hl",#N/A,FALSE,"Total jan-dec";"04-12HL",#N/A,FALSE,"Total jan-dec"}</definedName>
    <definedName name="XX" hidden="1">{"'Matrix'!$A$3:$J$47"}</definedName>
    <definedName name="xxx" hidden="1">{"'Matrix'!$A$3:$J$47"}</definedName>
    <definedName name="xxxx" hidden="1">{"det (May)",#N/A,FALSE,"June";"sum (MAY YTD)",#N/A,FALSE,"June YTD"}</definedName>
    <definedName name="yrjytjtyjd" hidden="1">{"det (May)",#N/A,FALSE,"June";"sum (MAY YTD)",#N/A,FALSE,"June YTD"}</definedName>
    <definedName name="yrkyuky" hidden="1">{"det (May)",#N/A,FALSE,"June";"sum (MAY YTD)",#N/A,FALSE,"June YTD"}</definedName>
    <definedName name="yrliulu" hidden="1">{"det (May)",#N/A,FALSE,"June";"sum (MAY YTD)",#N/A,FALSE,"June YTD"}</definedName>
    <definedName name="ytjtyjtyj" hidden="1">{"det (May)",#N/A,FALSE,"June";"sum (MAY YTD)",#N/A,FALSE,"June YTD"}</definedName>
    <definedName name="ytjyjy" hidden="1">{"04-12brpr",#N/A,FALSE,"Total jan-dec";"05brpr",#N/A,FALSE,"Total jan-dec";"07brpr",#N/A,FALSE,"Total jan-dec";"01-12absdet",#N/A,FALSE,"Total jan-dec";"01-12abs",#N/A,FALSE,"Total jan-dec";"04-12abs",#N/A,FALSE,"Total jan-dec";"04-12absdet",#N/A,FALSE,"Total jan-dec";"01-12hl",#N/A,FALSE,"Total jan-dec";"04-12HL",#N/A,FALSE,"Total jan-dec"}</definedName>
    <definedName name="yyy" hidden="1">{#N/A,#N/A,FALSE,"지침";#N/A,#N/A,FALSE,"환경분석";#N/A,#N/A,FALSE,"Sheet16"}</definedName>
    <definedName name="yyyy" hidden="1">{"'Matrix'!$A$3:$J$47"}</definedName>
    <definedName name="yyyyy" hidden="1">{"'Matrix'!$A$3:$J$47"}</definedName>
    <definedName name="yyyyyyyyy" hidden="1">{"'Matrix'!$A$3:$J$47"}</definedName>
    <definedName name="zdfg" hidden="1">{"det (May)",#N/A,FALSE,"June";"sum (MAY YTD)",#N/A,FALSE,"June YTD"}</definedName>
    <definedName name="zeljka" hidden="1">{"det (May)",#N/A,FALSE,"June";"sum (MAY YTD)",#N/A,FALSE,"June YTD"}</definedName>
    <definedName name="zeljka1" hidden="1">{"det (May)",#N/A,FALSE,"June";"sum (MAY YTD)",#N/A,FALSE,"June YTD"}</definedName>
    <definedName name="zeljka2" hidden="1">{"04-12brpr",#N/A,FALSE,"Total jan-dec";"05brpr",#N/A,FALSE,"Total jan-dec";"07brpr",#N/A,FALSE,"Total jan-dec";"01-12absdet",#N/A,FALSE,"Total jan-dec";"01-12abs",#N/A,FALSE,"Total jan-dec";"04-12abs",#N/A,FALSE,"Total jan-dec";"04-12absdet",#N/A,FALSE,"Total jan-dec";"01-12hl",#N/A,FALSE,"Total jan-dec";"04-12HL",#N/A,FALSE,"Total jan-dec"}</definedName>
    <definedName name="zeljka3" hidden="1">{"det (May)",#N/A,FALSE,"June";"sum (MAY YTD)",#N/A,FALSE,"June YTD"}</definedName>
    <definedName name="zz" hidden="1">{"'Matrix'!$A$3:$J$47"}</definedName>
    <definedName name="zzz" hidden="1">{"det (May)",#N/A,FALSE,"June";"sum (MAY YTD)",#N/A,FALSE,"June YTD"}</definedName>
    <definedName name="zzzzzzzzzzz" hidden="1">{"'Matrix'!$A$3:$J$47"}</definedName>
    <definedName name="ㄱㄱㄱㄱ" hidden="1">{#N/A,#N/A,FALSE,"지침";#N/A,#N/A,FALSE,"환경분석";#N/A,#N/A,FALSE,"Sheet16"}</definedName>
    <definedName name="가나" hidden="1">{#N/A,#N/A,FALSE,"지침";#N/A,#N/A,FALSE,"환경분석";#N/A,#N/A,FALSE,"Sheet16"}</definedName>
    <definedName name="경제성" hidden="1">{#N/A,#N/A,FALSE,"지침";#N/A,#N/A,FALSE,"환경분석";#N/A,#N/A,FALSE,"Sheet16"}</definedName>
    <definedName name="고" hidden="1">{#N/A,#N/A,FALSE,"지침";#N/A,#N/A,FALSE,"환경분석";#N/A,#N/A,FALSE,"Sheet16"}</definedName>
    <definedName name="광" hidden="1">{#N/A,#N/A,FALSE,"지침";#N/A,#N/A,FALSE,"환경분석";#N/A,#N/A,FALSE,"Sheet16"}</definedName>
    <definedName name="김재현" hidden="1">{#N/A,#N/A,FALSE,"지침";#N/A,#N/A,FALSE,"환경분석";#N/A,#N/A,FALSE,"Sheet16"}</definedName>
    <definedName name="ㄴㅇㄹ호" hidden="1">{#N/A,#N/A,FALSE,"지침";#N/A,#N/A,FALSE,"환경분석";#N/A,#N/A,FALSE,"Sheet16"}</definedName>
    <definedName name="도면" hidden="1">#REF!</definedName>
    <definedName name="ㅁ" hidden="1">{#N/A,#N/A,FALSE,"지침";#N/A,#N/A,FALSE,"환경분석";#N/A,#N/A,FALSE,"Sheet16"}</definedName>
    <definedName name="ㅁㅁ" hidden="1">{"det (May)",#N/A,FALSE,"June";"sum (MAY YTD)",#N/A,FALSE,"June YTD"}</definedName>
    <definedName name="ㅁㅁㅁ" hidden="1">{#N/A,#N/A,FALSE,"지침";#N/A,#N/A,FALSE,"환경분석";#N/A,#N/A,FALSE,"Sheet16"}</definedName>
    <definedName name="비상l" hidden="1">{#N/A,#N/A,FALSE,"지침";#N/A,#N/A,FALSE,"환경분석";#N/A,#N/A,FALSE,"Sheet16"}</definedName>
    <definedName name="사" hidden="1">{#N/A,#N/A,FALSE,"지침";#N/A,#N/A,FALSE,"환경분석";#N/A,#N/A,FALSE,"Sheet16"}</definedName>
    <definedName name="사1" hidden="1">{#N/A,#N/A,FALSE,"지침";#N/A,#N/A,FALSE,"환경분석";#N/A,#N/A,FALSE,"Sheet16"}</definedName>
    <definedName name="생2" hidden="1">{#N/A,#N/A,FALSE,"지침";#N/A,#N/A,FALSE,"환경분석";#N/A,#N/A,FALSE,"Sheet16"}</definedName>
    <definedName name="ㅇ" hidden="1">{#N/A,#N/A,FALSE,"지침";#N/A,#N/A,FALSE,"환경분석";#N/A,#N/A,FALSE,"Sheet16"}</definedName>
    <definedName name="ㅇㅇㅇㅇㅇ" hidden="1">{#N/A,#N/A,FALSE,"지침";#N/A,#N/A,FALSE,"환경분석";#N/A,#N/A,FALSE,"Sheet16"}</definedName>
    <definedName name="양식" hidden="1">{#N/A,#N/A,FALSE,"지침";#N/A,#N/A,FALSE,"환경분석";#N/A,#N/A,FALSE,"Sheet16"}</definedName>
    <definedName name="인쇄" hidden="1">{#N/A,#N/A,FALSE,"지침";#N/A,#N/A,FALSE,"환경분석";#N/A,#N/A,FALSE,"Sheet16"}</definedName>
    <definedName name="인쇄BU" hidden="1">{#N/A,#N/A,FALSE,"지침";#N/A,#N/A,FALSE,"환경분석";#N/A,#N/A,FALSE,"Sheet16"}</definedName>
    <definedName name="ㅈㅈㅈ" hidden="1">{#N/A,#N/A,FALSE,"지침";#N/A,#N/A,FALSE,"환경분석";#N/A,#N/A,FALSE,"Sheet16"}</definedName>
    <definedName name="전략부품" hidden="1">{#N/A,#N/A,FALSE,"지침";#N/A,#N/A,FALSE,"환경분석";#N/A,#N/A,FALSE,"Sheet16"}</definedName>
    <definedName name="제품I067606" hidden="1">{#N/A,#N/A,FALSE,"지침";#N/A,#N/A,FALSE,"환경분석";#N/A,#N/A,FALSE,"Sheet16"}</definedName>
    <definedName name="주" hidden="1">{#N/A,#N/A,FALSE,"지침";#N/A,#N/A,FALSE,"환경분석";#N/A,#N/A,FALSE,"Sheet16"}</definedName>
    <definedName name="청원공장1" hidden="1">{#N/A,#N/A,FALSE,"지침";#N/A,#N/A,FALSE,"환경분석";#N/A,#N/A,FALSE,"Sheet16"}</definedName>
    <definedName name="ㅀ효ㅇㄱ쇼셔ㅓ쇼ㅓ" hidden="1">{#N/A,#N/A,FALSE,"지침";#N/A,#N/A,FALSE,"환경분석";#N/A,#N/A,FALSE,"Sheet16"}</definedName>
    <definedName name="ㅏㅓ" hidden="1">{#N/A,#N/A,FALSE,"지침";#N/A,#N/A,FALSE,"환경분석";#N/A,#N/A,FALSE,"Sheet16"}</definedName>
    <definedName name="ㅐㅐㅐ" hidden="1">{#N/A,#N/A,FALSE,"지침";#N/A,#N/A,FALSE,"환경분석";#N/A,#N/A,FALSE,"Sheet16"}</definedName>
    <definedName name="ㅓㅗㅎ헛" hidden="1">{#N/A,#N/A,FALSE,"지침";#N/A,#N/A,FALSE,"환경분석";#N/A,#N/A,FALSE,"Sheet16"}</definedName>
    <definedName name="ㅔ" hidden="1">{#N/A,#N/A,FALSE,"지침";#N/A,#N/A,FALSE,"환경분석";#N/A,#N/A,FALSE,"Sheet16"}</definedName>
    <definedName name="ㅠㅠㅠ" hidden="1">{#N/A,#N/A,FALSE,"지침";#N/A,#N/A,FALSE,"환경분석";#N/A,#N/A,FALSE,"Sheet16"}</definedName>
    <definedName name="ㅡㅡㅡ" hidden="1">{#N/A,#N/A,FALSE,"지침";#N/A,#N/A,FALSE,"환경분석";#N/A,#N/A,FALSE,"Sheet16"}</definedName>
    <definedName name="USD">'Defined names'!$H$66</definedName>
    <definedName name="EUR">'Defined names'!$H$67</definedName>
    <definedName name="Duplicates">('Defined names'!$J$66,'Defined names'!$K$66,'Defined names'!$L$66,'Defined names'!$M$66,'Defined names'!$O$66,'Defined names'!$Q$66,'Defined names'!$K$67,'Defined names'!$M$67,'Defined names'!$O$67,'Defined names'!$P$67,'Defined names'!$N$68,'Defined names'!$O$68,'Defined names'!$P$68,'Defined names'!$L$69,'Defined names'!$O$69,'Defined names'!$Q$69,'Defined names'!$J$70,'Defined names'!$K$70,'Defined names'!$L$70,'Defined names'!$O$70,'Defined names'!$P$70,'Defined names'!$Q$70,'Defined names'!$J$71,'Defined names'!$M$71,'Defined names'!$P$71,'Defined names'!$P$72,'Defined names'!$L$73)</definedName>
    <definedName name="Unique_values">('Defined names'!$N$66,'Defined names'!$P$66,'Defined names'!$J$67,'Defined names'!$L$67,'Defined names'!$N$67,'Defined names'!$Q$67,'Defined names'!$J$68,'Defined names'!$K$68,'Defined names'!$L$68,'Defined names'!$M$68,'Defined names'!$Q$68,'Defined names'!$J$69,'Defined names'!$K$69,'Defined names'!$M$69,'Defined names'!$N$69,'Defined names'!$P$69,'Defined names'!$M$70,'Defined names'!$N$70,'Defined names'!$K$71,'Defined names'!$L$71,'Defined names'!$N$71,'Defined names'!$O$71,'Defined names'!$Q$71,'Defined names'!$J$72,'Defined names'!$K$72,'Defined names'!$L$72,'Defined names'!$M$72,'Defined names'!$N$72,'Defined names'!$O$72,'Defined names'!$Q$72,'Defined names'!$J$73,'Defined names'!$K$73,'Defined names'!$M$73,'Defined names'!$N$73,'Defined names'!$O$73,'Defined names'!$P$73,'Defined names'!$Q$73)</definedName>
    <definedName name="__123Graph_A" localSheetId="0" hidden="1">[1]은행!#REF!</definedName>
    <definedName name="__123Graph_B" localSheetId="0" hidden="1">[1]은행!#REF!</definedName>
    <definedName name="_I027611" localSheetId="0" hidden="1">{#N/A,#N/A,FALSE,"지침";#N/A,#N/A,FALSE,"환경분석";#N/A,#N/A,FALSE,"Sheet16"}</definedName>
    <definedName name="_Key1" localSheetId="0" hidden="1">#REF!</definedName>
    <definedName name="_Key2" localSheetId="0" hidden="1">#REF!</definedName>
    <definedName name="_o1" localSheetId="0" hidden="1">{"det (May)",#N/A,FALSE,"June";"sum (MAY YTD)",#N/A,FALSE,"June YTD"}</definedName>
    <definedName name="_P0376001" localSheetId="0" hidden="1">{#N/A,#N/A,FALSE,"지침";#N/A,#N/A,FALSE,"환경분석";#N/A,#N/A,FALSE,"Sheet16"}</definedName>
    <definedName name="_Sort" localSheetId="0" hidden="1">#REF!</definedName>
    <definedName name="_Table2_Out" localSheetId="0" hidden="1">#REF!</definedName>
    <definedName name="_tk2" localSheetId="0" hidden="1">{#N/A,#N/A,FALSE,"지침";#N/A,#N/A,FALSE,"환경분석";#N/A,#N/A,FALSE,"Sheet16"}</definedName>
    <definedName name="ааа" localSheetId="0" hidden="1">{"det (May)",#N/A,FALSE,"June";"sum (MAY YTD)",#N/A,FALSE,"June YTD"}</definedName>
    <definedName name="ввв" localSheetId="0" hidden="1">{"det (May)",#N/A,FALSE,"June";"sum (MAY YTD)",#N/A,FALSE,"June YTD"}</definedName>
    <definedName name="нов" localSheetId="0" hidden="1">{"'Matrix'!$A$3:$J$47"}</definedName>
    <definedName name="A.???" localSheetId="0" hidden="1">{"det (May)",#N/A,FALSE,"June";"sum (MAY YTD)",#N/A,FALSE,"June YTD"}</definedName>
    <definedName name="A.I.AA" localSheetId="0" hidden="1">{"det (May)",#N/A,FALSE,"June";"sum (MAY YTD)",#N/A,FALSE,"June YTD"}</definedName>
    <definedName name="A.Ⅱ.i2" localSheetId="0" hidden="1">{"det (May)",#N/A,FALSE,"June";"sum (MAY YTD)",#N/A,FALSE,"June YTD"}</definedName>
    <definedName name="aa" localSheetId="0" hidden="1">{#N/A,#N/A,FALSE,"지침";#N/A,#N/A,FALSE,"환경분석";#N/A,#N/A,FALSE,"Sheet16"}</definedName>
    <definedName name="aaaa" localSheetId="0" hidden="1">{"det (May)",#N/A,FALSE,"June";"sum (MAY YTD)",#N/A,FALSE,"June YTD"}</definedName>
    <definedName name="aaaaa" localSheetId="0" hidden="1">{"det (May)",#N/A,FALSE,"June";"sum (MAY YTD)",#N/A,FALSE,"June YTD"}</definedName>
    <definedName name="abc" localSheetId="0" hidden="1">{"det (May)",#N/A,FALSE,"June";"sum (MAY YTD)",#N/A,FALSE,"June YTD"}</definedName>
    <definedName name="alt" localSheetId="0" hidden="1">{"det (May)",#N/A,FALSE,"June";"sum (MAY YTD)",#N/A,FALSE,"June YTD"}</definedName>
    <definedName name="ANNA" localSheetId="0" hidden="1">{"det (May)",#N/A,FALSE,"June";"sum (MAY YTD)",#N/A,FALSE,"June YTD"}</definedName>
    <definedName name="asd" localSheetId="0" hidden="1">{"det (May)",#N/A,FALSE,"June";"sum (MAY YTD)",#N/A,FALSE,"June YTD"}</definedName>
    <definedName name="asdf" localSheetId="0" hidden="1">{"det (May)",#N/A,FALSE,"June";"sum (MAY YTD)",#N/A,FALSE,"June YTD"}</definedName>
    <definedName name="asdfasg" localSheetId="0" hidden="1">{"det (May)",#N/A,FALSE,"June";"sum (MAY YTD)",#N/A,FALSE,"June YTD"}</definedName>
    <definedName name="B.IV.r" localSheetId="0" hidden="1">{"det (May)",#N/A,FALSE,"June";"sum (MAY YTD)",#N/A,FALSE,"June YTD"}</definedName>
    <definedName name="B.IV.r.SBC" localSheetId="0" hidden="1">{"det (May)",#N/A,FALSE,"June";"sum (MAY YTD)",#N/A,FALSE,"June YTD"}</definedName>
    <definedName name="bb" localSheetId="0" hidden="1">{"'Matrix'!$A$3:$J$47"}</definedName>
    <definedName name="bbbb" localSheetId="0" hidden="1">{"'Matrix'!$A$3:$J$47"}</definedName>
    <definedName name="bhub"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blb" localSheetId="0" hidden="1">{"det (May)",#N/A,FALSE,"June";"sum (MAY YTD)",#N/A,FALSE,"June YTD"}</definedName>
    <definedName name="BLPH2" localSheetId="0" hidden="1">#REF!</definedName>
    <definedName name="book" localSheetId="0" hidden="1">{"det (May)",#N/A,FALSE,"June";"sum (MAY YTD)",#N/A,FALSE,"June YTD"}</definedName>
    <definedName name="CAPTURA2" localSheetId="0" hidden="1">{"'171'!$A$1:$Z$50"}</definedName>
    <definedName name="cccc" localSheetId="0" hidden="1">{"det (May)",#N/A,FALSE,"June";"sum (MAY YTD)",#N/A,FALSE,"June YTD"}</definedName>
    <definedName name="ccccc" localSheetId="0" hidden="1">{"'Matrix'!$A$3:$J$47"}</definedName>
    <definedName name="CURVA2" localSheetId="0" hidden="1">{"'171'!$A$1:$Z$50"}</definedName>
    <definedName name="DD" localSheetId="0" hidden="1">{#N/A,#N/A,FALSE,"지침";#N/A,#N/A,FALSE,"환경분석";#N/A,#N/A,FALSE,"Sheet16"}</definedName>
    <definedName name="DDD" localSheetId="0" hidden="1">{#N/A,#N/A,FALSE,"지침";#N/A,#N/A,FALSE,"환경분석";#N/A,#N/A,FALSE,"Sheet16"}</definedName>
    <definedName name="dddd" localSheetId="0" hidden="1">{"'Matrix'!$A$3:$J$47"}</definedName>
    <definedName name="ddddd" localSheetId="0" hidden="1">{"'Matrix'!$A$3:$J$47"}</definedName>
    <definedName name="dfdfgd"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dfg" localSheetId="0" hidden="1">{#N/A,#N/A,FALSE,"지침";#N/A,#N/A,FALSE,"환경분석";#N/A,#N/A,FALSE,"Sheet16"}</definedName>
    <definedName name="dfgd" localSheetId="0" hidden="1">{"det (May)",#N/A,FALSE,"June";"sum (MAY YTD)",#N/A,FALSE,"June YTD"}</definedName>
    <definedName name="dfrhgzsdhsz"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dfyjtjutj" localSheetId="0" hidden="1">{"det (May)",#N/A,FALSE,"June";"sum (MAY YTD)",#N/A,FALSE,"June YTD"}</definedName>
    <definedName name="dgdg" localSheetId="0" hidden="1">{"det (May)",#N/A,FALSE,"June";"sum (MAY YTD)",#N/A,FALSE,"June YTD"}</definedName>
    <definedName name="dgfdg" localSheetId="0" hidden="1">{"det (May)",#N/A,FALSE,"June";"sum (MAY YTD)",#N/A,FALSE,"June YTD"}</definedName>
    <definedName name="dhdh" localSheetId="0" hidden="1">{"det (May)",#N/A,FALSE,"June";"sum (MAY YTD)",#N/A,FALSE,"June YTD"}</definedName>
    <definedName name="dhgdfhgf" localSheetId="0" hidden="1">{"det (May)",#N/A,FALSE,"June";"sum (MAY YTD)",#N/A,FALSE,"June YTD"}</definedName>
    <definedName name="draft53" localSheetId="0" hidden="1">{"det (May)",#N/A,FALSE,"June";"sum (MAY YTD)",#N/A,FALSE,"June YTD"}</definedName>
    <definedName name="drftjtyjtyj" localSheetId="0" hidden="1">{"det (May)",#N/A,FALSE,"June";"sum (MAY YTD)",#N/A,FALSE,"June YTD"}</definedName>
    <definedName name="drtyjtyjuuj" localSheetId="0" hidden="1">{"det (May)",#N/A,FALSE,"June";"sum (MAY YTD)",#N/A,FALSE,"June YTD"}</definedName>
    <definedName name="dsvbgl" localSheetId="0" hidden="1">{"det (May)",#N/A,FALSE,"June";"sum (MAY YTD)",#N/A,FALSE,"June YTD"}</definedName>
    <definedName name="dtheth" localSheetId="0" hidden="1">{"det (May)",#N/A,FALSE,"June";"sum (MAY YTD)",#N/A,FALSE,"June YTD"}</definedName>
    <definedName name="dtjkdujktd" localSheetId="0" hidden="1">{"det (May)",#N/A,FALSE,"June";"sum (MAY YTD)",#N/A,FALSE,"June YTD"}</definedName>
    <definedName name="dtjtyjyt" localSheetId="0" hidden="1">{"det (May)",#N/A,FALSE,"June";"sum (MAY YTD)",#N/A,FALSE,"June YTD"}</definedName>
    <definedName name="dtyjdj" localSheetId="0" hidden="1">{"det (May)",#N/A,FALSE,"June";"sum (MAY YTD)",#N/A,FALSE,"June YTD"}</definedName>
    <definedName name="dtyjdtj" localSheetId="0" hidden="1">{"det (May)",#N/A,FALSE,"June";"sum (MAY YTD)",#N/A,FALSE,"June YTD"}</definedName>
    <definedName name="dtyjdtjt" localSheetId="0" hidden="1">{"det (May)",#N/A,FALSE,"June";"sum (MAY YTD)",#N/A,FALSE,"June YTD"}</definedName>
    <definedName name="dtyjtj" localSheetId="0" hidden="1">{"det (May)",#N/A,FALSE,"June";"sum (MAY YTD)",#N/A,FALSE,"June YTD"}</definedName>
    <definedName name="dtyjtjtyd" localSheetId="0" hidden="1">{"det (May)",#N/A,FALSE,"June";"sum (MAY YTD)",#N/A,FALSE,"June YTD"}</definedName>
    <definedName name="dtyjtjyt" localSheetId="0" hidden="1">{"det (May)",#N/A,FALSE,"June";"sum (MAY YTD)",#N/A,FALSE,"June YTD"}</definedName>
    <definedName name="dtytdyjtyj" localSheetId="0" hidden="1">{"det (May)",#N/A,FALSE,"June";"sum (MAY YTD)",#N/A,FALSE,"June YTD"}</definedName>
    <definedName name="dyjdjy" localSheetId="0" hidden="1">{"det (May)",#N/A,FALSE,"June";"sum (MAY YTD)",#N/A,FALSE,"June YTD"}</definedName>
    <definedName name="dyjdtjd" localSheetId="0" hidden="1">{"det (May)",#N/A,FALSE,"June";"sum (MAY YTD)",#N/A,FALSE,"June YTD"}</definedName>
    <definedName name="dyjtj" localSheetId="0" hidden="1">{"det (May)",#N/A,FALSE,"June";"sum (MAY YTD)",#N/A,FALSE,"June YTD"}</definedName>
    <definedName name="dyjtjyt"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dyjtyj" localSheetId="0" hidden="1">{"det (May)",#N/A,FALSE,"June";"sum (MAY YTD)",#N/A,FALSE,"June YTD"}</definedName>
    <definedName name="dyjtyjuju"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dyjtyjuykj" localSheetId="0" hidden="1">{"det (May)",#N/A,FALSE,"June";"sum (MAY YTD)",#N/A,FALSE,"June YTD"}</definedName>
    <definedName name="ee" localSheetId="0" hidden="1">{"det (May)",#N/A,FALSE,"June";"sum (MAY YTD)",#N/A,FALSE,"June YTD"}</definedName>
    <definedName name="eeee" localSheetId="0" hidden="1">{"'Matrix'!$A$3:$J$47"}</definedName>
    <definedName name="eirhg" localSheetId="0" hidden="1">{"det (May)",#N/A,FALSE,"June";"sum (MAY YTD)",#N/A,FALSE,"June YTD"}</definedName>
    <definedName name="eirnf" localSheetId="0" hidden="1">{"det (May)",#N/A,FALSE,"June";"sum (MAY YTD)",#N/A,FALSE,"June YTD"}</definedName>
    <definedName name="eroweir" localSheetId="0" hidden="1">{"det (May)",#N/A,FALSE,"June";"sum (MAY YTD)",#N/A,FALSE,"June YTD"}</definedName>
    <definedName name="etyjetje" localSheetId="0" hidden="1">{"det (May)",#N/A,FALSE,"June";"sum (MAY YTD)",#N/A,FALSE,"June YTD"}</definedName>
    <definedName name="etyjte" localSheetId="0" hidden="1">{"det (May)",#N/A,FALSE,"June";"sum (MAY YTD)",#N/A,FALSE,"June YTD"}</definedName>
    <definedName name="ff" localSheetId="0" hidden="1">{"det (May)",#N/A,FALSE,"June";"sum (MAY YTD)",#N/A,FALSE,"June YTD"}</definedName>
    <definedName name="FFF" localSheetId="0" hidden="1">{#N/A,#N/A,FALSE,"지침";#N/A,#N/A,FALSE,"환경분석";#N/A,#N/A,FALSE,"Sheet16"}</definedName>
    <definedName name="fffffffffffff" localSheetId="0" hidden="1">{"'Matrix'!$A$3:$J$47"}</definedName>
    <definedName name="fghfg" localSheetId="0" hidden="1">{"det (May)",#N/A,FALSE,"June";"sum (MAY YTD)",#N/A,FALSE,"June YTD"}</definedName>
    <definedName name="fghfghf" localSheetId="0" hidden="1">{"det (May)",#N/A,FALSE,"June";"sum (MAY YTD)",#N/A,FALSE,"June YTD"}</definedName>
    <definedName name="fgnfgnf" localSheetId="0" hidden="1">{"det (May)",#N/A,FALSE,"June";"sum (MAY YTD)",#N/A,FALSE,"June YTD"}</definedName>
    <definedName name="fgnfxgnxfg"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fgnmfnfg" localSheetId="0" hidden="1">{"det (May)",#N/A,FALSE,"June";"sum (MAY YTD)",#N/A,FALSE,"June YTD"}</definedName>
    <definedName name="fhfghf" localSheetId="0" hidden="1">{"det (May)",#N/A,FALSE,"June";"sum (MAY YTD)",#N/A,FALSE,"June YTD"}</definedName>
    <definedName name="fhgfhx" localSheetId="0" hidden="1">{"det (May)",#N/A,FALSE,"June";"sum (MAY YTD)",#N/A,FALSE,"June YTD"}</definedName>
    <definedName name="fhjfghf" localSheetId="0" hidden="1">{"det (May)",#N/A,FALSE,"June";"sum (MAY YTD)",#N/A,FALSE,"June YTD"}</definedName>
    <definedName name="fhmghmg" localSheetId="0" hidden="1">{"det (May)",#N/A,FALSE,"June";"sum (MAY YTD)",#N/A,FALSE,"June YTD"}</definedName>
    <definedName name="fhmhgmhj"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fhshsf" localSheetId="0" hidden="1">{"det (May)",#N/A,FALSE,"June";"sum (MAY YTD)",#N/A,FALSE,"June YTD"}</definedName>
    <definedName name="Fig" localSheetId="0" hidden="1">{"det (May)",#N/A,FALSE,"June";"sum (MAY YTD)",#N/A,FALSE,"June YTD"}</definedName>
    <definedName name="fjhjgj" localSheetId="0" hidden="1">{"det (May)",#N/A,FALSE,"June";"sum (MAY YTD)",#N/A,FALSE,"June YTD"}</definedName>
    <definedName name="form" localSheetId="0" hidden="1">#REF!</definedName>
    <definedName name="GD" localSheetId="0" hidden="1">{#N/A,#N/A,FALSE,"지침";#N/A,#N/A,FALSE,"환경분석";#N/A,#N/A,FALSE,"Sheet16"}</definedName>
    <definedName name="gfdy" localSheetId="0" hidden="1">{#N/A,#N/A,FALSE,"지침";#N/A,#N/A,FALSE,"환경분석";#N/A,#N/A,FALSE,"Sheet16"}</definedName>
    <definedName name="ggggggggggggggg" localSheetId="0" hidden="1">{"'Matrix'!$A$3:$J$47"}</definedName>
    <definedName name="ghjghj"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ghjghjg" localSheetId="0" hidden="1">{"det (May)",#N/A,FALSE,"June";"sum (MAY YTD)",#N/A,FALSE,"June YTD"}</definedName>
    <definedName name="ghjgjgh" localSheetId="0" hidden="1">{"det (May)",#N/A,FALSE,"June";"sum (MAY YTD)",#N/A,FALSE,"June YTD"}</definedName>
    <definedName name="ghmghm" localSheetId="0" hidden="1">{"det (May)",#N/A,FALSE,"June";"sum (MAY YTD)",#N/A,FALSE,"June YTD"}</definedName>
    <definedName name="ghmghmg" localSheetId="0" hidden="1">{"det (May)",#N/A,FALSE,"June";"sum (MAY YTD)",#N/A,FALSE,"June YTD"}</definedName>
    <definedName name="gjghjgh" localSheetId="0" hidden="1">{"det (May)",#N/A,FALSE,"June";"sum (MAY YTD)",#N/A,FALSE,"June YTD"}</definedName>
    <definedName name="guggygi"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hgkujhk" localSheetId="0" hidden="1">{"det (May)",#N/A,FALSE,"June";"sum (MAY YTD)",#N/A,FALSE,"June YTD"}</definedName>
    <definedName name="hh"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hhhhhhhhhhh" localSheetId="0" hidden="1">{"'Matrix'!$A$3:$J$47"}</definedName>
    <definedName name="hhhhhhhhhhhhh" localSheetId="0" hidden="1">{"'Matrix'!$A$3:$J$47"}</definedName>
    <definedName name="hjgj" localSheetId="0" hidden="1">{"det (May)",#N/A,FALSE,"June";"sum (MAY YTD)",#N/A,FALSE,"June YTD"}</definedName>
    <definedName name="hjhkjh" localSheetId="0" hidden="1">{"det (May)",#N/A,FALSE,"June";"sum (MAY YTD)",#N/A,FALSE,"June YTD"}</definedName>
    <definedName name="hjkhk" localSheetId="0" hidden="1">{"det (May)",#N/A,FALSE,"June";"sum (MAY YTD)",#N/A,FALSE,"June YTD"}</definedName>
    <definedName name="hjkjh" localSheetId="0" hidden="1">{"det (May)",#N/A,FALSE,"June";"sum (MAY YTD)",#N/A,FALSE,"June YTD"}</definedName>
    <definedName name="hmghj" localSheetId="0" hidden="1">{"det (May)",#N/A,FALSE,"June";"sum (MAY YTD)",#N/A,FALSE,"June YTD"}</definedName>
    <definedName name="htdfjty" localSheetId="0" hidden="1">{"det (May)",#N/A,FALSE,"June";"sum (MAY YTD)",#N/A,FALSE,"June YTD"}</definedName>
    <definedName name="HTML_Control" localSheetId="0" hidden="1">{"'RR'!$A$2:$E$81"}</definedName>
    <definedName name="HTML_Control2" localSheetId="0" hidden="1">{"'171'!$A$1:$Z$50"}</definedName>
    <definedName name="ic" localSheetId="0" hidden="1">{#N/A,#N/A,FALSE,"지침";#N/A,#N/A,FALSE,"환경분석";#N/A,#N/A,FALSE,"Sheet16"}</definedName>
    <definedName name="iogfrio" localSheetId="0" hidden="1">{"det (May)",#N/A,FALSE,"June";"sum (MAY YTD)",#N/A,FALSE,"June YTD"}</definedName>
    <definedName name="jdfjewf" localSheetId="0" hidden="1">{#N/A,#N/A,FALSE,"지침";#N/A,#N/A,FALSE,"환경분석";#N/A,#N/A,FALSE,"Sheet16"}</definedName>
    <definedName name="jdjytdj" localSheetId="0" hidden="1">{"det (May)",#N/A,FALSE,"June";"sum (MAY YTD)",#N/A,FALSE,"June YTD"}</definedName>
    <definedName name="jhgjhg" localSheetId="0" hidden="1">{"det (May)",#N/A,FALSE,"June";"sum (MAY YTD)",#N/A,FALSE,"June YTD"}</definedName>
    <definedName name="jhkhjk"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jiop" localSheetId="0" hidden="1">{0,#N/A,FALSE,0;0,#N/A,FALSE,0;0,#N/A,FALSE,0;0,#N/A,FALSE,0;0,#N/A,FALSE,0;0,#N/A,FALSE,0;0,#N/A,FALSE,0;0,#N/A,FALSE,0}</definedName>
    <definedName name="jjjjjjjjjjjjjj" localSheetId="0" hidden="1">{"'Matrix'!$A$3:$J$47"}</definedName>
    <definedName name="jkgjkgh" localSheetId="0" hidden="1">{"det (May)",#N/A,FALSE,"June";"sum (MAY YTD)",#N/A,FALSE,"June YTD"}</definedName>
    <definedName name="jkljlkj"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jljl" localSheetId="0" hidden="1">{"det (May)",#N/A,FALSE,"June";"sum (MAY YTD)",#N/A,FALSE,"June YTD"}</definedName>
    <definedName name="jljljljl" localSheetId="0" hidden="1">{"det (May)",#N/A,FALSE,"June";"sum (MAY YTD)",#N/A,FALSE,"June YTD"}</definedName>
    <definedName name="jljlx" localSheetId="0" hidden="1">{"det (May)",#N/A,FALSE,"June";"sum (MAY YTD)",#N/A,FALSE,"June YTD"}</definedName>
    <definedName name="k" localSheetId="0" hidden="1">{"det (May)",#N/A,FALSE,"June";"sum (MAY YTD)",#N/A,FALSE,"June YTD"}</definedName>
    <definedName name="kegs" localSheetId="0" hidden="1">{"det (May)",#N/A,FALSE,"June";"sum (MAY YTD)",#N/A,FALSE,"June YTD"}</definedName>
    <definedName name="kegsx" localSheetId="0" hidden="1">{"det (May)",#N/A,FALSE,"June";"sum (MAY YTD)",#N/A,FALSE,"June YTD"}</definedName>
    <definedName name="KJ" localSheetId="0" hidden="1">{#N/A,#N/A,FALSE,"지침";#N/A,#N/A,FALSE,"환경분석";#N/A,#N/A,FALSE,"Sheet16"}</definedName>
    <definedName name="kljlklj" localSheetId="0" hidden="1">{"det (May)",#N/A,FALSE,"June";"sum (MAY YTD)",#N/A,FALSE,"June YTD"}</definedName>
    <definedName name="kx" localSheetId="0" hidden="1">{"det (May)",#N/A,FALSE,"June";"sum (MAY YTD)",#N/A,FALSE,"June YTD"}</definedName>
    <definedName name="LAURA"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laurax"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LEE" localSheetId="0" hidden="1">{"det (May)",#N/A,FALSE,"June";"sum (MAY YTD)",#N/A,FALSE,"June YTD"}</definedName>
    <definedName name="m" localSheetId="0" hidden="1">{"'Matrix'!$A$3:$J$47"}</definedName>
    <definedName name="mktg" localSheetId="0" hidden="1">{#N/A,#N/A,FALSE,"지침";#N/A,#N/A,FALSE,"환경분석";#N/A,#N/A,FALSE,"Sheet16"}</definedName>
    <definedName name="mmmmmmmm" localSheetId="0" hidden="1">{"'Matrix'!$A$3:$J$47"}</definedName>
    <definedName name="nn" localSheetId="0" hidden="1">{"det (May)",#N/A,FALSE,"June";"sum (MAY YTD)",#N/A,FALSE,"June YTD"}</definedName>
    <definedName name="o" localSheetId="0" hidden="1">{"det (May)",#N/A,FALSE,"June";"sum (MAY YTD)",#N/A,FALSE,"June YTD"}</definedName>
    <definedName name="o1x" localSheetId="0" hidden="1">{"det (May)",#N/A,FALSE,"June";"sum (MAY YTD)",#N/A,FALSE,"June YTD"}</definedName>
    <definedName name="okbari" localSheetId="0" hidden="1">{"det (May)",#N/A,FALSE,"June";"sum (MAY YTD)",#N/A,FALSE,"June YTD"}</definedName>
    <definedName name="okbaria" localSheetId="0" hidden="1">{"det (May)",#N/A,FALSE,"June";"sum (MAY YTD)",#N/A,FALSE,"June YTD"}</definedName>
    <definedName name="okbaric" localSheetId="0" hidden="1">{"det (May)",#N/A,FALSE,"June";"sum (MAY YTD)",#N/A,FALSE,"June YTD"}</definedName>
    <definedName name="opo" localSheetId="0" hidden="1">{#N/A,#N/A,FALSE,"지침";#N/A,#N/A,FALSE,"환경분석";#N/A,#N/A,FALSE,"Sheet16"}</definedName>
    <definedName name="ox" localSheetId="0" hidden="1">{"det (May)",#N/A,FALSE,"June";"sum (MAY YTD)",#N/A,FALSE,"June YTD"}</definedName>
    <definedName name="POA" localSheetId="0" hidden="1">{"det (May)",#N/A,FALSE,"June";"sum (MAY YTD)",#N/A,FALSE,"June YTD"}</definedName>
    <definedName name="PRO" localSheetId="0" hidden="1">{"det (May)",#N/A,FALSE,"June";"sum (MAY YTD)",#N/A,FALSE,"June YTD"}</definedName>
    <definedName name="rfiuogft"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rieifr" localSheetId="0" hidden="1">{"det (May)",#N/A,FALSE,"June";"sum (MAY YTD)",#N/A,FALSE,"June YTD"}</definedName>
    <definedName name="rieis" localSheetId="0" hidden="1">{"det (May)",#N/A,FALSE,"June";"sum (MAY YTD)",#N/A,FALSE,"June YTD"}</definedName>
    <definedName name="roic" localSheetId="0" hidden="1">{#N/A,#N/A,FALSE,"model"}</definedName>
    <definedName name="rr" localSheetId="0" hidden="1">{"'Matrix'!$A$3:$J$47"}</definedName>
    <definedName name="rrr" localSheetId="0" hidden="1">{0,#N/A,FALSE,0;0,#N/A,FALSE,0;0,#N/A,FALSE,0;0,#N/A,FALSE,0;0,#N/A,FALSE,0;0,#N/A,FALSE,0;0,#N/A,FALSE,0;0,#N/A,FALSE,0}</definedName>
    <definedName name="rrrrr" localSheetId="0" hidden="1">{"'Matrix'!$A$3:$J$47"}</definedName>
    <definedName name="rrrrrrrrr" localSheetId="0" hidden="1">{"'Matrix'!$A$3:$J$47"}</definedName>
    <definedName name="rthrfthr"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rthrghrt" localSheetId="0" hidden="1">{"det (May)",#N/A,FALSE,"June";"sum (MAY YTD)",#N/A,FALSE,"June YTD"}</definedName>
    <definedName name="rx"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rxi" localSheetId="0" hidden="1">{"det (May)",#N/A,FALSE,"June";"sum (MAY YTD)",#N/A,FALSE,"June YTD"}</definedName>
    <definedName name="savings" localSheetId="0" hidden="1">{#N/A,#N/A,FALSE,"지침";#N/A,#N/A,FALSE,"환경분석";#N/A,#N/A,FALSE,"Sheet16"}</definedName>
    <definedName name="Scaba" localSheetId="0" hidden="1">{#N/A,#N/A,FALSE,"지침";#N/A,#N/A,FALSE,"환경분석";#N/A,#N/A,FALSE,"Sheet16"}</definedName>
    <definedName name="sdfsg"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sdg" localSheetId="0" hidden="1">{#N/A,#N/A,FALSE,"지침";#N/A,#N/A,FALSE,"환경분석";#N/A,#N/A,FALSE,"Sheet16"}</definedName>
    <definedName name="sfghd" localSheetId="0" hidden="1">{"det (May)",#N/A,FALSE,"June";"sum (MAY YTD)",#N/A,FALSE,"June YTD"}</definedName>
    <definedName name="sheet1" localSheetId="0" hidden="1">{#N/A,#N/A,FALSE,"지침";#N/A,#N/A,FALSE,"환경분석";#N/A,#N/A,FALSE,"Sheet16"}</definedName>
    <definedName name="Sheet5bvhjvgkghk" localSheetId="0" hidden="1">{"det (May)",#N/A,FALSE,"June";"sum (MAY YTD)",#N/A,FALSE,"June YTD"}</definedName>
    <definedName name="sici" localSheetId="0" hidden="1">{"det (May)",#N/A,FALSE,"June";"sum (MAY YTD)",#N/A,FALSE,"June YTD"}</definedName>
    <definedName name="slov"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slovx"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so" localSheetId="0" hidden="1">{#N/A,#N/A,FALSE,"지침";#N/A,#N/A,FALSE,"환경분석";#N/A,#N/A,FALSE,"Sheet16"}</definedName>
    <definedName name="Soft" localSheetId="0" hidden="1">{"det (May)",#N/A,FALSE,"June";"sum (MAY YTD)",#N/A,FALSE,"June YTD"}</definedName>
    <definedName name="softx" localSheetId="0" hidden="1">{"det (May)",#N/A,FALSE,"June";"sum (MAY YTD)",#N/A,FALSE,"June YTD"}</definedName>
    <definedName name="srthrhrt" localSheetId="0" hidden="1">{"det (May)",#N/A,FALSE,"June";"sum (MAY YTD)",#N/A,FALSE,"June YTD"}</definedName>
    <definedName name="srthtrhjytj" localSheetId="0" hidden="1">{"det (May)",#N/A,FALSE,"June";"sum (MAY YTD)",#N/A,FALSE,"June YTD"}</definedName>
    <definedName name="srtjstjytj" localSheetId="0" hidden="1">{"det (May)",#N/A,FALSE,"June";"sum (MAY YTD)",#N/A,FALSE,"June YTD"}</definedName>
    <definedName name="srtjtyjtyj" localSheetId="0" hidden="1">{"det (May)",#N/A,FALSE,"June";"sum (MAY YTD)",#N/A,FALSE,"June YTD"}</definedName>
    <definedName name="srtyjtyjtyj"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ss" localSheetId="0" hidden="1">{"'RR'!$A$2:$E$81"}</definedName>
    <definedName name="sss" localSheetId="0" hidden="1">{"'RR'!$A$2:$E$81"}</definedName>
    <definedName name="stella" localSheetId="0" hidden="1">{"det (May)",#N/A,FALSE,"June";"sum (MAY YTD)",#N/A,FALSE,"June YTD"}</definedName>
    <definedName name="stellax" localSheetId="0" hidden="1">{"det (May)",#N/A,FALSE,"June";"sum (MAY YTD)",#N/A,FALSE,"June YTD"}</definedName>
    <definedName name="sthstghr" localSheetId="0" hidden="1">{"det (May)",#N/A,FALSE,"June";"sum (MAY YTD)",#N/A,FALSE,"June YTD"}</definedName>
    <definedName name="tdjytjd"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tjdtjytg" localSheetId="0" hidden="1">{"det (May)",#N/A,FALSE,"June";"sum (MAY YTD)",#N/A,FALSE,"June YTD"}</definedName>
    <definedName name="tkuku" localSheetId="0" hidden="1">{"det (May)",#N/A,FALSE,"June";"sum (MAY YTD)",#N/A,FALSE,"June YTD"}</definedName>
    <definedName name="trjtyj"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ttttt" localSheetId="0" hidden="1">{#N/A,#N/A,FALSE,"지침";#N/A,#N/A,FALSE,"환경분석";#N/A,#N/A,FALSE,"Sheet16"}</definedName>
    <definedName name="ty" localSheetId="0" hidden="1">{0,#N/A,FALSE,0;0,#N/A,FALSE,0}</definedName>
    <definedName name="tyjdyj" localSheetId="0" hidden="1">{"det (May)",#N/A,FALSE,"June";"sum (MAY YTD)",#N/A,FALSE,"June YTD"}</definedName>
    <definedName name="tyjtjd" localSheetId="0" hidden="1">{"det (May)",#N/A,FALSE,"June";"sum (MAY YTD)",#N/A,FALSE,"June YTD"}</definedName>
    <definedName name="tyjtyhfrth" localSheetId="0" hidden="1">{"det (May)",#N/A,FALSE,"June";"sum (MAY YTD)",#N/A,FALSE,"June YTD"}</definedName>
    <definedName name="tyktykdty"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tykukyu"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tyujtujty"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ukdtuykfk" localSheetId="0" hidden="1">{"det (May)",#N/A,FALSE,"June";"sum (MAY YTD)",#N/A,FALSE,"June YTD"}</definedName>
    <definedName name="utluilu" localSheetId="0" hidden="1">{"det (May)",#N/A,FALSE,"June";"sum (MAY YTD)",#N/A,FALSE,"June YTD"}</definedName>
    <definedName name="VARI" localSheetId="0" hidden="1">{#N/A,#N/A,FALSE,"지침";#N/A,#N/A,FALSE,"환경분석";#N/A,#N/A,FALSE,"Sheet16"}</definedName>
    <definedName name="VARIA" localSheetId="0" hidden="1">{#N/A,#N/A,FALSE,"지침";#N/A,#N/A,FALSE,"환경분석";#N/A,#N/A,FALSE,"Sheet16"}</definedName>
    <definedName name="w.forecast" localSheetId="0" hidden="1">{#N/A,#N/A,FALSE,"model"}</definedName>
    <definedName name="w.forecast2" localSheetId="0" hidden="1">{#N/A,#N/A,FALSE,"model"}</definedName>
    <definedName name="w2.forecast" localSheetId="0" hidden="1">{#N/A,#N/A,FALSE,"model"}</definedName>
    <definedName name="wer" localSheetId="0" hidden="1">{#N/A,#N/A,FALSE,"지침";#N/A,#N/A,FALSE,"환경분석";#N/A,#N/A,FALSE,"Sheet16"}</definedName>
    <definedName name="werftdsfgdfg" localSheetId="0" hidden="1">{"det (May)",#N/A,FALSE,"June";"sum (MAY YTD)",#N/A,FALSE,"June YTD"}</definedName>
    <definedName name="wgyerhy" localSheetId="0" hidden="1">{#N/A,#N/A,FALSE,"지침";#N/A,#N/A,FALSE,"환경분석";#N/A,#N/A,FALSE,"Sheet16"}</definedName>
    <definedName name="wrg.aug" localSheetId="0" hidden="1">{"det (May)",#N/A,FALSE,"June";"sum (MAY YTD)",#N/A,FALSE,"June YTD"}</definedName>
    <definedName name="wrn.97." localSheetId="0" hidden="1">{#N/A,#N/A,FALSE,"지침";#N/A,#N/A,FALSE,"환경분석";#N/A,#N/A,FALSE,"Sheet16"}</definedName>
    <definedName name="wrn.ALL." localSheetId="0" hidden="1">{#N/A,#N/A,FALSE,"DCF";#N/A,#N/A,FALSE,"WACC";#N/A,#N/A,FALSE,"Sales_EBIT";#N/A,#N/A,FALSE,"Capex_Depreciation";#N/A,#N/A,FALSE,"WC";#N/A,#N/A,FALSE,"Interest";#N/A,#N/A,FALSE,"Assumptions"}</definedName>
    <definedName name="wrn.aug" localSheetId="0" hidden="1">{"det (May)",#N/A,FALSE,"June";"sum (MAY YTD)",#N/A,FALSE,"June YTD"}</definedName>
    <definedName name="wrn.augyt" localSheetId="0" hidden="1">{"det (May)",#N/A,FALSE,"June";"sum (MAY YTD)",#N/A,FALSE,"June YTD"}</definedName>
    <definedName name="wrn.augYTD" localSheetId="0" hidden="1">{"det (May)",#N/A,FALSE,"June";"sum (MAY YTD)",#N/A,FALSE,"June YTD"}</definedName>
    <definedName name="wrn.augYTDx" localSheetId="0" hidden="1">{"det (May)",#N/A,FALSE,"June";"sum (MAY YTD)",#N/A,FALSE,"June YTD"}</definedName>
    <definedName name="wrn.augytx" localSheetId="0" hidden="1">{"det (May)",#N/A,FALSE,"June";"sum (MAY YTD)",#N/A,FALSE,"June YTD"}</definedName>
    <definedName name="wrn.brol."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wrn.Coded._.IAS._.FS." localSheetId="0" hidden="1">{"IASTrail",#N/A,FALSE,"IAS"}</definedName>
    <definedName name="wrn.DCFEpervier." localSheetId="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Fixed._.Assets._.Note._.and._.Depreciation." localSheetId="0" hidden="1">{#N/A,#N/A,FALSE,"FA_1";#N/A,#N/A,FALSE,"Dep'n SE";#N/A,#N/A,FALSE,"Dep'n FC"}</definedName>
    <definedName name="wrn.forecast." localSheetId="0" hidden="1">{#N/A,#N/A,FALSE,"model"}</definedName>
    <definedName name="wrn.forecast2" localSheetId="0" hidden="1">{#N/A,#N/A,FALSE,"model"}</definedName>
    <definedName name="wrn.forecastassumptions." localSheetId="0" hidden="1">{#N/A,#N/A,FALSE,"model"}</definedName>
    <definedName name="wrn.forecastassumptions2" localSheetId="0" hidden="1">{#N/A,#N/A,FALSE,"model"}</definedName>
    <definedName name="wrn.forecastROIC." localSheetId="0" hidden="1">{#N/A,#N/A,FALSE,"model"}</definedName>
    <definedName name="wrn.Full._.IAS._.STATEMENTS." localSheetId="0" hidden="1">{"IASBS",#N/A,FALSE,"IAS";"IASPL",#N/A,FALSE,"IAS";#N/A,#N/A,FALSE,"CF DIR";"IASNotes",#N/A,FALSE,"IAS";#N/A,#N/A,FALSE,"FA_1";#N/A,#N/A,FALSE,"Dep'n FC";#N/A,#N/A,FALSE,"Dep'n SE";#N/A,#N/A,FALSE,"Inv_1";#N/A,#N/A,FALSE,"NMG";#N/A,#N/A,FALSE,"Recon";#N/A,#N/A,FALSE,"EPS"}</definedName>
    <definedName name="wrn.Full._.TRAIL." localSheetId="0" hidden="1">{"IAS Mapping",#N/A,FALSE,"RSA_FS";#N/A,#N/A,FALSE,"CHECK!";#N/A,#N/A,FALSE,"Recon";#N/A,#N/A,FALSE,"NMG";#N/A,#N/A,FALSE,"Journals";"AnalRSA",#N/A,FALSE,"PL-Anal";"AnalIAS",#N/A,FALSE,"PL-Anal";#N/A,#N/A,FALSE,"COS"}</definedName>
    <definedName name="wrn.Help." localSheetId="0" hidden="1">{#N/A,#N/A,TRUE,"MAP";#N/A,#N/A,TRUE,"STEPS";#N/A,#N/A,TRUE,"RULES"}</definedName>
    <definedName name="wrn.history." localSheetId="0" hidden="1">{#N/A,#N/A,FALSE,"model"}</definedName>
    <definedName name="wrn.histROIC." localSheetId="0" hidden="1">{#N/A,#N/A,FALSE,"model"}</definedName>
    <definedName name="wrn.IAS._.BS._.PL._.CF._.and._.Notes." localSheetId="0" hidden="1">{"IASBS",#N/A,TRUE,"IAS";"IASPL",#N/A,TRUE,"IAS";"IASNotes",#N/A,TRUE,"IAS";"CFDir - expanded",#N/A,TRUE,"CF DIR"}</definedName>
    <definedName name="wrn.IAS._.FS._.ZOOMED._.IN._.Forms." localSheetId="0" hidden="1">{"IAS_ShortView_1",#N/A,FALSE,"IAS";"IAS_ShortView_2",#N/A,FALSE,"IAS";"IAS_ShortView_3",#N/A,FALSE,"IAS";"IAS_ShortView_4",#N/A,FALSE,"IAS";"IAS_ShortView_5",#N/A,FALSE,"IAS";"IAS_ShortView_6",#N/A,FALSE,"IAS";"IAS_ShortView_7",#N/A,FALSE,"IAS";"CFDir - Zoomed In",#N/A,FALSE,"CF DIR"}</definedName>
    <definedName name="wrn.IAS._.Mapping." localSheetId="0" hidden="1">{"IAS Mapping",#N/A,TRUE,"RSA_FS"}</definedName>
    <definedName name="wrn.Inflation._.factors._.used." localSheetId="0" hidden="1">{#N/A,#N/A,FALSE,"Infl_fact"}</definedName>
    <definedName name="wrn.June." localSheetId="0" hidden="1">{"det (May)",#N/A,FALSE,"June";"sum (MAY YTD)",#N/A,FALSE,"June YTD"}</definedName>
    <definedName name="wrn.PL._.Analysis." localSheetId="0" hidden="1">{"AnalRSA",#N/A,TRUE,"PL-Anal";"AnalIAS",#N/A,TRUE,"PL-Anal"}</definedName>
    <definedName name="wrn.ptp." localSheetId="0" hidden="1">{#N/A,#N/A,FALSE,"RELATÓRIO";#N/A,#N/A,FALSE,"RELATÓRIO"}</definedName>
    <definedName name="wrn.RSA._.BS._.and._.PL." localSheetId="0" hidden="1">{"BS1",#N/A,TRUE,"RSA_FS";"BS2",#N/A,TRUE,"RSA_FS";"BS3",#N/A,TRUE,"RSA_FS"}</definedName>
    <definedName name="wrn1.aug" localSheetId="0" hidden="1">{"det (May)",#N/A,FALSE,"June";"sum (MAY YTD)",#N/A,FALSE,"June YTD"}</definedName>
    <definedName name="wrn1.augtyd" localSheetId="0" hidden="1">{"det (May)",#N/A,FALSE,"June";"sum (MAY YTD)",#N/A,FALSE,"June YTD"}</definedName>
    <definedName name="wrn1.augyt" localSheetId="0" hidden="1">{"det (May)",#N/A,FALSE,"June";"sum (MAY YTD)",#N/A,FALSE,"June YTD"}</definedName>
    <definedName name="wrn1.brol"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wrn1.june" localSheetId="0" hidden="1">{"det (May)",#N/A,FALSE,"June";"sum (MAY YTD)",#N/A,FALSE,"June YTD"}</definedName>
    <definedName name="wrn2.brol"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wrn2.june" localSheetId="0" hidden="1">{"det (May)",#N/A,FALSE,"June";"sum (MAY YTD)",#N/A,FALSE,"June YTD"}</definedName>
    <definedName name="ww" localSheetId="0" hidden="1">{"det (May)",#N/A,FALSE,"June";"sum (MAY YTD)",#N/A,FALSE,"June YTD"}</definedName>
    <definedName name="WWW" localSheetId="0" hidden="1">{"'Matrix'!$A$3:$J$47"}</definedName>
    <definedName name="xfjxfgj" localSheetId="0" hidden="1">{"det (May)",#N/A,FALSE,"June";"sum (MAY YTD)",#N/A,FALSE,"June YTD"}</definedName>
    <definedName name="xfjxfj" localSheetId="0" hidden="1">{"det (May)",#N/A,FALSE,"June";"sum (MAY YTD)",#N/A,FALSE,"June YTD"}</definedName>
    <definedName name="xgfngfnf" localSheetId="0" hidden="1">{"det (May)",#N/A,FALSE,"June";"sum (MAY YTD)",#N/A,FALSE,"June YTD"}</definedName>
    <definedName name="xieir"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xir" localSheetId="0" hidden="1">{"det (May)",#N/A,FALSE,"June";"sum (MAY YTD)",#N/A,FALSE,"June YTD"}</definedName>
    <definedName name="xkdirhj" localSheetId="0" hidden="1">{"det (May)",#N/A,FALSE,"June";"sum (MAY YTD)",#N/A,FALSE,"June YTD"}</definedName>
    <definedName name="xkei0ori"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XX" localSheetId="0" hidden="1">{"'Matrix'!$A$3:$J$47"}</definedName>
    <definedName name="xxx" localSheetId="0" hidden="1">{"'Matrix'!$A$3:$J$47"}</definedName>
    <definedName name="xxxx" localSheetId="0" hidden="1">{"det (May)",#N/A,FALSE,"June";"sum (MAY YTD)",#N/A,FALSE,"June YTD"}</definedName>
    <definedName name="yrjytjtyjd" localSheetId="0" hidden="1">{"det (May)",#N/A,FALSE,"June";"sum (MAY YTD)",#N/A,FALSE,"June YTD"}</definedName>
    <definedName name="yrkyuky" localSheetId="0" hidden="1">{"det (May)",#N/A,FALSE,"June";"sum (MAY YTD)",#N/A,FALSE,"June YTD"}</definedName>
    <definedName name="yrliulu" localSheetId="0" hidden="1">{"det (May)",#N/A,FALSE,"June";"sum (MAY YTD)",#N/A,FALSE,"June YTD"}</definedName>
    <definedName name="ytjtyjtyj" localSheetId="0" hidden="1">{"det (May)",#N/A,FALSE,"June";"sum (MAY YTD)",#N/A,FALSE,"June YTD"}</definedName>
    <definedName name="ytjyjy"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yyy" localSheetId="0" hidden="1">{#N/A,#N/A,FALSE,"지침";#N/A,#N/A,FALSE,"환경분석";#N/A,#N/A,FALSE,"Sheet16"}</definedName>
    <definedName name="yyyy" localSheetId="0" hidden="1">{"'Matrix'!$A$3:$J$47"}</definedName>
    <definedName name="yyyyy" localSheetId="0" hidden="1">{"'Matrix'!$A$3:$J$47"}</definedName>
    <definedName name="yyyyyyyyy" localSheetId="0" hidden="1">{"'Matrix'!$A$3:$J$47"}</definedName>
    <definedName name="zdfg" localSheetId="0" hidden="1">{"det (May)",#N/A,FALSE,"June";"sum (MAY YTD)",#N/A,FALSE,"June YTD"}</definedName>
    <definedName name="zeljka" localSheetId="0" hidden="1">{"det (May)",#N/A,FALSE,"June";"sum (MAY YTD)",#N/A,FALSE,"June YTD"}</definedName>
    <definedName name="zeljka1" localSheetId="0" hidden="1">{"det (May)",#N/A,FALSE,"June";"sum (MAY YTD)",#N/A,FALSE,"June YTD"}</definedName>
    <definedName name="zeljka2" localSheetId="0" hidden="1">{"04-12brpr",#N/A,FALSE,"Total jan-dec";"05brpr",#N/A,FALSE,"Total jan-dec";"07brpr",#N/A,FALSE,"Total jan-dec";"01-12absdet",#N/A,FALSE,"Total jan-dec";"01-12abs",#N/A,FALSE,"Total jan-dec";"04-12abs",#N/A,FALSE,"Total jan-dec";"04-12absdet",#N/A,FALSE,"Total jan-dec";"01-12hl",#N/A,FALSE,"Total jan-dec";"04-12HL",#N/A,FALSE,"Total jan-dec"}</definedName>
    <definedName name="zeljka3" localSheetId="0" hidden="1">{"det (May)",#N/A,FALSE,"June";"sum (MAY YTD)",#N/A,FALSE,"June YTD"}</definedName>
    <definedName name="zz" localSheetId="0" hidden="1">{"'Matrix'!$A$3:$J$47"}</definedName>
    <definedName name="zzz" localSheetId="0" hidden="1">{"det (May)",#N/A,FALSE,"June";"sum (MAY YTD)",#N/A,FALSE,"June YTD"}</definedName>
    <definedName name="zzzzzzzzzzz" localSheetId="0" hidden="1">{"'Matrix'!$A$3:$J$47"}</definedName>
    <definedName name="ㄱㄱㄱㄱ" localSheetId="0" hidden="1">{#N/A,#N/A,FALSE,"지침";#N/A,#N/A,FALSE,"환경분석";#N/A,#N/A,FALSE,"Sheet16"}</definedName>
    <definedName name="가나" localSheetId="0" hidden="1">{#N/A,#N/A,FALSE,"지침";#N/A,#N/A,FALSE,"환경분석";#N/A,#N/A,FALSE,"Sheet16"}</definedName>
    <definedName name="경제성" localSheetId="0" hidden="1">{#N/A,#N/A,FALSE,"지침";#N/A,#N/A,FALSE,"환경분석";#N/A,#N/A,FALSE,"Sheet16"}</definedName>
    <definedName name="고" localSheetId="0" hidden="1">{#N/A,#N/A,FALSE,"지침";#N/A,#N/A,FALSE,"환경분석";#N/A,#N/A,FALSE,"Sheet16"}</definedName>
    <definedName name="광" localSheetId="0" hidden="1">{#N/A,#N/A,FALSE,"지침";#N/A,#N/A,FALSE,"환경분석";#N/A,#N/A,FALSE,"Sheet16"}</definedName>
    <definedName name="김재현" localSheetId="0" hidden="1">{#N/A,#N/A,FALSE,"지침";#N/A,#N/A,FALSE,"환경분석";#N/A,#N/A,FALSE,"Sheet16"}</definedName>
    <definedName name="ㄴㅇㄹ호" localSheetId="0" hidden="1">{#N/A,#N/A,FALSE,"지침";#N/A,#N/A,FALSE,"환경분석";#N/A,#N/A,FALSE,"Sheet16"}</definedName>
    <definedName name="ㅁ" localSheetId="0" hidden="1">{#N/A,#N/A,FALSE,"지침";#N/A,#N/A,FALSE,"환경분석";#N/A,#N/A,FALSE,"Sheet16"}</definedName>
    <definedName name="ㅁㅁ" localSheetId="0" hidden="1">{"det (May)",#N/A,FALSE,"June";"sum (MAY YTD)",#N/A,FALSE,"June YTD"}</definedName>
    <definedName name="ㅁㅁㅁ" localSheetId="0" hidden="1">{#N/A,#N/A,FALSE,"지침";#N/A,#N/A,FALSE,"환경분석";#N/A,#N/A,FALSE,"Sheet16"}</definedName>
    <definedName name="비상l" localSheetId="0" hidden="1">{#N/A,#N/A,FALSE,"지침";#N/A,#N/A,FALSE,"환경분석";#N/A,#N/A,FALSE,"Sheet16"}</definedName>
    <definedName name="사" localSheetId="0" hidden="1">{#N/A,#N/A,FALSE,"지침";#N/A,#N/A,FALSE,"환경분석";#N/A,#N/A,FALSE,"Sheet16"}</definedName>
    <definedName name="사1" localSheetId="0" hidden="1">{#N/A,#N/A,FALSE,"지침";#N/A,#N/A,FALSE,"환경분석";#N/A,#N/A,FALSE,"Sheet16"}</definedName>
    <definedName name="생2" localSheetId="0" hidden="1">{#N/A,#N/A,FALSE,"지침";#N/A,#N/A,FALSE,"환경분석";#N/A,#N/A,FALSE,"Sheet16"}</definedName>
    <definedName name="ㅇ" localSheetId="0" hidden="1">{#N/A,#N/A,FALSE,"지침";#N/A,#N/A,FALSE,"환경분석";#N/A,#N/A,FALSE,"Sheet16"}</definedName>
    <definedName name="ㅇㅇㅇㅇㅇ" localSheetId="0" hidden="1">{#N/A,#N/A,FALSE,"지침";#N/A,#N/A,FALSE,"환경분석";#N/A,#N/A,FALSE,"Sheet16"}</definedName>
    <definedName name="양식" localSheetId="0" hidden="1">{#N/A,#N/A,FALSE,"지침";#N/A,#N/A,FALSE,"환경분석";#N/A,#N/A,FALSE,"Sheet16"}</definedName>
    <definedName name="인쇄" localSheetId="0" hidden="1">{#N/A,#N/A,FALSE,"지침";#N/A,#N/A,FALSE,"환경분석";#N/A,#N/A,FALSE,"Sheet16"}</definedName>
    <definedName name="인쇄BU" localSheetId="0" hidden="1">{#N/A,#N/A,FALSE,"지침";#N/A,#N/A,FALSE,"환경분석";#N/A,#N/A,FALSE,"Sheet16"}</definedName>
    <definedName name="ㅈㅈㅈ" localSheetId="0" hidden="1">{#N/A,#N/A,FALSE,"지침";#N/A,#N/A,FALSE,"환경분석";#N/A,#N/A,FALSE,"Sheet16"}</definedName>
    <definedName name="전략부품" localSheetId="0" hidden="1">{#N/A,#N/A,FALSE,"지침";#N/A,#N/A,FALSE,"환경분석";#N/A,#N/A,FALSE,"Sheet16"}</definedName>
    <definedName name="제품I067606" localSheetId="0" hidden="1">{#N/A,#N/A,FALSE,"지침";#N/A,#N/A,FALSE,"환경분석";#N/A,#N/A,FALSE,"Sheet16"}</definedName>
    <definedName name="주" localSheetId="0" hidden="1">{#N/A,#N/A,FALSE,"지침";#N/A,#N/A,FALSE,"환경분석";#N/A,#N/A,FALSE,"Sheet16"}</definedName>
    <definedName name="청원공장1" localSheetId="0" hidden="1">{#N/A,#N/A,FALSE,"지침";#N/A,#N/A,FALSE,"환경분석";#N/A,#N/A,FALSE,"Sheet16"}</definedName>
    <definedName name="ㅀ효ㅇㄱ쇼셔ㅓ쇼ㅓ" localSheetId="0" hidden="1">{#N/A,#N/A,FALSE,"지침";#N/A,#N/A,FALSE,"환경분석";#N/A,#N/A,FALSE,"Sheet16"}</definedName>
    <definedName name="ㅏㅓ" localSheetId="0" hidden="1">{#N/A,#N/A,FALSE,"지침";#N/A,#N/A,FALSE,"환경분석";#N/A,#N/A,FALSE,"Sheet16"}</definedName>
    <definedName name="ㅐㅐㅐ" localSheetId="0" hidden="1">{#N/A,#N/A,FALSE,"지침";#N/A,#N/A,FALSE,"환경분석";#N/A,#N/A,FALSE,"Sheet16"}</definedName>
    <definedName name="ㅓㅗㅎ헛" localSheetId="0" hidden="1">{#N/A,#N/A,FALSE,"지침";#N/A,#N/A,FALSE,"환경분석";#N/A,#N/A,FALSE,"Sheet16"}</definedName>
    <definedName name="ㅔ" localSheetId="0" hidden="1">{#N/A,#N/A,FALSE,"지침";#N/A,#N/A,FALSE,"환경분석";#N/A,#N/A,FALSE,"Sheet16"}</definedName>
    <definedName name="ㅠㅠㅠ" localSheetId="0" hidden="1">{#N/A,#N/A,FALSE,"지침";#N/A,#N/A,FALSE,"환경분석";#N/A,#N/A,FALSE,"Sheet16"}</definedName>
    <definedName name="ㅡㅡㅡ" localSheetId="0" hidden="1">{#N/A,#N/A,FALSE,"지침";#N/A,#N/A,FALSE,"환경분석";#N/A,#N/A,FALSE,"Sheet16"}</definedName>
    <definedName name="_I027611" localSheetId="13" hidden="1">{#N/A,#N/A,FALSE,"지침";#N/A,#N/A,FALSE,"환경분석";#N/A,#N/A,FALSE,"Sheet16"}</definedName>
    <definedName name="_o1" localSheetId="13" hidden="1">{"det (May)",#N/A,FALSE,"June";"sum (MAY YTD)",#N/A,FALSE,"June YTD"}</definedName>
    <definedName name="_P0376001" localSheetId="13" hidden="1">{#N/A,#N/A,FALSE,"지침";#N/A,#N/A,FALSE,"환경분석";#N/A,#N/A,FALSE,"Sheet16"}</definedName>
    <definedName name="_tk2" localSheetId="13" hidden="1">{#N/A,#N/A,FALSE,"지침";#N/A,#N/A,FALSE,"환경분석";#N/A,#N/A,FALSE,"Sheet16"}</definedName>
    <definedName name="ааа" localSheetId="13" hidden="1">{"det (May)",#N/A,FALSE,"June";"sum (MAY YTD)",#N/A,FALSE,"June YTD"}</definedName>
    <definedName name="ввв" localSheetId="13" hidden="1">{"det (May)",#N/A,FALSE,"June";"sum (MAY YTD)",#N/A,FALSE,"June YTD"}</definedName>
    <definedName name="нов" localSheetId="13" hidden="1">{"'Matrix'!$A$3:$J$47"}</definedName>
    <definedName name="A.???" localSheetId="13" hidden="1">{"det (May)",#N/A,FALSE,"June";"sum (MAY YTD)",#N/A,FALSE,"June YTD"}</definedName>
    <definedName name="A.I.AA" localSheetId="13" hidden="1">{"det (May)",#N/A,FALSE,"June";"sum (MAY YTD)",#N/A,FALSE,"June YTD"}</definedName>
    <definedName name="A.Ⅱ.i2" localSheetId="13" hidden="1">{"det (May)",#N/A,FALSE,"June";"sum (MAY YTD)",#N/A,FALSE,"June YTD"}</definedName>
    <definedName name="aa" localSheetId="13" hidden="1">{#N/A,#N/A,FALSE,"지침";#N/A,#N/A,FALSE,"환경분석";#N/A,#N/A,FALSE,"Sheet16"}</definedName>
    <definedName name="aaaa" localSheetId="13" hidden="1">{"det (May)",#N/A,FALSE,"June";"sum (MAY YTD)",#N/A,FALSE,"June YTD"}</definedName>
    <definedName name="aaaaa" localSheetId="13" hidden="1">{"det (May)",#N/A,FALSE,"June";"sum (MAY YTD)",#N/A,FALSE,"June YTD"}</definedName>
    <definedName name="abc" localSheetId="13" hidden="1">{"det (May)",#N/A,FALSE,"June";"sum (MAY YTD)",#N/A,FALSE,"June YTD"}</definedName>
    <definedName name="alt" localSheetId="13" hidden="1">{"det (May)",#N/A,FALSE,"June";"sum (MAY YTD)",#N/A,FALSE,"June YTD"}</definedName>
    <definedName name="ANNA" localSheetId="13" hidden="1">{"det (May)",#N/A,FALSE,"June";"sum (MAY YTD)",#N/A,FALSE,"June YTD"}</definedName>
    <definedName name="asd" localSheetId="13" hidden="1">{"det (May)",#N/A,FALSE,"June";"sum (MAY YTD)",#N/A,FALSE,"June YTD"}</definedName>
    <definedName name="asdf" localSheetId="13" hidden="1">{"det (May)",#N/A,FALSE,"June";"sum (MAY YTD)",#N/A,FALSE,"June YTD"}</definedName>
    <definedName name="asdfasg" localSheetId="13" hidden="1">{"det (May)",#N/A,FALSE,"June";"sum (MAY YTD)",#N/A,FALSE,"June YTD"}</definedName>
    <definedName name="B.IV.r" localSheetId="13" hidden="1">{"det (May)",#N/A,FALSE,"June";"sum (MAY YTD)",#N/A,FALSE,"June YTD"}</definedName>
    <definedName name="B.IV.r.SBC" localSheetId="13" hidden="1">{"det (May)",#N/A,FALSE,"June";"sum (MAY YTD)",#N/A,FALSE,"June YTD"}</definedName>
    <definedName name="bb" localSheetId="13" hidden="1">{"'Matrix'!$A$3:$J$47"}</definedName>
    <definedName name="bbbb" localSheetId="13" hidden="1">{"'Matrix'!$A$3:$J$47"}</definedName>
    <definedName name="bhub"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blb" localSheetId="13" hidden="1">{"det (May)",#N/A,FALSE,"June";"sum (MAY YTD)",#N/A,FALSE,"June YTD"}</definedName>
    <definedName name="book" localSheetId="13" hidden="1">{"det (May)",#N/A,FALSE,"June";"sum (MAY YTD)",#N/A,FALSE,"June YTD"}</definedName>
    <definedName name="CAPTURA2" localSheetId="13" hidden="1">{"'171'!$A$1:$Z$50"}</definedName>
    <definedName name="cccc" localSheetId="13" hidden="1">{"det (May)",#N/A,FALSE,"June";"sum (MAY YTD)",#N/A,FALSE,"June YTD"}</definedName>
    <definedName name="ccccc" localSheetId="13" hidden="1">{"'Matrix'!$A$3:$J$47"}</definedName>
    <definedName name="CURVA2" localSheetId="13" hidden="1">{"'171'!$A$1:$Z$50"}</definedName>
    <definedName name="DD" localSheetId="13" hidden="1">{#N/A,#N/A,FALSE,"지침";#N/A,#N/A,FALSE,"환경분석";#N/A,#N/A,FALSE,"Sheet16"}</definedName>
    <definedName name="DDD" localSheetId="13" hidden="1">{#N/A,#N/A,FALSE,"지침";#N/A,#N/A,FALSE,"환경분석";#N/A,#N/A,FALSE,"Sheet16"}</definedName>
    <definedName name="dddd" localSheetId="13" hidden="1">{"'Matrix'!$A$3:$J$47"}</definedName>
    <definedName name="ddddd" localSheetId="13" hidden="1">{"'Matrix'!$A$3:$J$47"}</definedName>
    <definedName name="dfdfgd"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dfg" localSheetId="13" hidden="1">{#N/A,#N/A,FALSE,"지침";#N/A,#N/A,FALSE,"환경분석";#N/A,#N/A,FALSE,"Sheet16"}</definedName>
    <definedName name="dfgd" localSheetId="13" hidden="1">{"det (May)",#N/A,FALSE,"June";"sum (MAY YTD)",#N/A,FALSE,"June YTD"}</definedName>
    <definedName name="dfrhgzsdhsz"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dfyjtjutj" localSheetId="13" hidden="1">{"det (May)",#N/A,FALSE,"June";"sum (MAY YTD)",#N/A,FALSE,"June YTD"}</definedName>
    <definedName name="dgdg" localSheetId="13" hidden="1">{"det (May)",#N/A,FALSE,"June";"sum (MAY YTD)",#N/A,FALSE,"June YTD"}</definedName>
    <definedName name="dgfdg" localSheetId="13" hidden="1">{"det (May)",#N/A,FALSE,"June";"sum (MAY YTD)",#N/A,FALSE,"June YTD"}</definedName>
    <definedName name="dhdh" localSheetId="13" hidden="1">{"det (May)",#N/A,FALSE,"June";"sum (MAY YTD)",#N/A,FALSE,"June YTD"}</definedName>
    <definedName name="dhgdfhgf" localSheetId="13" hidden="1">{"det (May)",#N/A,FALSE,"June";"sum (MAY YTD)",#N/A,FALSE,"June YTD"}</definedName>
    <definedName name="draft53" localSheetId="13" hidden="1">{"det (May)",#N/A,FALSE,"June";"sum (MAY YTD)",#N/A,FALSE,"June YTD"}</definedName>
    <definedName name="drftjtyjtyj" localSheetId="13" hidden="1">{"det (May)",#N/A,FALSE,"June";"sum (MAY YTD)",#N/A,FALSE,"June YTD"}</definedName>
    <definedName name="drtyjtyjuuj" localSheetId="13" hidden="1">{"det (May)",#N/A,FALSE,"June";"sum (MAY YTD)",#N/A,FALSE,"June YTD"}</definedName>
    <definedName name="dsvbgl" localSheetId="13" hidden="1">{"det (May)",#N/A,FALSE,"June";"sum (MAY YTD)",#N/A,FALSE,"June YTD"}</definedName>
    <definedName name="dtheth" localSheetId="13" hidden="1">{"det (May)",#N/A,FALSE,"June";"sum (MAY YTD)",#N/A,FALSE,"June YTD"}</definedName>
    <definedName name="dtjkdujktd" localSheetId="13" hidden="1">{"det (May)",#N/A,FALSE,"June";"sum (MAY YTD)",#N/A,FALSE,"June YTD"}</definedName>
    <definedName name="dtjtyjyt" localSheetId="13" hidden="1">{"det (May)",#N/A,FALSE,"June";"sum (MAY YTD)",#N/A,FALSE,"June YTD"}</definedName>
    <definedName name="dtyjdj" localSheetId="13" hidden="1">{"det (May)",#N/A,FALSE,"June";"sum (MAY YTD)",#N/A,FALSE,"June YTD"}</definedName>
    <definedName name="dtyjdtj" localSheetId="13" hidden="1">{"det (May)",#N/A,FALSE,"June";"sum (MAY YTD)",#N/A,FALSE,"June YTD"}</definedName>
    <definedName name="dtyjdtjt" localSheetId="13" hidden="1">{"det (May)",#N/A,FALSE,"June";"sum (MAY YTD)",#N/A,FALSE,"June YTD"}</definedName>
    <definedName name="dtyjtj" localSheetId="13" hidden="1">{"det (May)",#N/A,FALSE,"June";"sum (MAY YTD)",#N/A,FALSE,"June YTD"}</definedName>
    <definedName name="dtyjtjtyd" localSheetId="13" hidden="1">{"det (May)",#N/A,FALSE,"June";"sum (MAY YTD)",#N/A,FALSE,"June YTD"}</definedName>
    <definedName name="dtyjtjyt" localSheetId="13" hidden="1">{"det (May)",#N/A,FALSE,"June";"sum (MAY YTD)",#N/A,FALSE,"June YTD"}</definedName>
    <definedName name="dtytdyjtyj" localSheetId="13" hidden="1">{"det (May)",#N/A,FALSE,"June";"sum (MAY YTD)",#N/A,FALSE,"June YTD"}</definedName>
    <definedName name="dyjdjy" localSheetId="13" hidden="1">{"det (May)",#N/A,FALSE,"June";"sum (MAY YTD)",#N/A,FALSE,"June YTD"}</definedName>
    <definedName name="dyjdtjd" localSheetId="13" hidden="1">{"det (May)",#N/A,FALSE,"June";"sum (MAY YTD)",#N/A,FALSE,"June YTD"}</definedName>
    <definedName name="dyjtj" localSheetId="13" hidden="1">{"det (May)",#N/A,FALSE,"June";"sum (MAY YTD)",#N/A,FALSE,"June YTD"}</definedName>
    <definedName name="dyjtjyt"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dyjtyj" localSheetId="13" hidden="1">{"det (May)",#N/A,FALSE,"June";"sum (MAY YTD)",#N/A,FALSE,"June YTD"}</definedName>
    <definedName name="dyjtyjuju"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dyjtyjuykj" localSheetId="13" hidden="1">{"det (May)",#N/A,FALSE,"June";"sum (MAY YTD)",#N/A,FALSE,"June YTD"}</definedName>
    <definedName name="ee" localSheetId="13" hidden="1">{"det (May)",#N/A,FALSE,"June";"sum (MAY YTD)",#N/A,FALSE,"June YTD"}</definedName>
    <definedName name="eeee" localSheetId="13" hidden="1">{"'Matrix'!$A$3:$J$47"}</definedName>
    <definedName name="eirhg" localSheetId="13" hidden="1">{"det (May)",#N/A,FALSE,"June";"sum (MAY YTD)",#N/A,FALSE,"June YTD"}</definedName>
    <definedName name="eirnf" localSheetId="13" hidden="1">{"det (May)",#N/A,FALSE,"June";"sum (MAY YTD)",#N/A,FALSE,"June YTD"}</definedName>
    <definedName name="eroweir" localSheetId="13" hidden="1">{"det (May)",#N/A,FALSE,"June";"sum (MAY YTD)",#N/A,FALSE,"June YTD"}</definedName>
    <definedName name="etyjetje" localSheetId="13" hidden="1">{"det (May)",#N/A,FALSE,"June";"sum (MAY YTD)",#N/A,FALSE,"June YTD"}</definedName>
    <definedName name="etyjte" localSheetId="13" hidden="1">{"det (May)",#N/A,FALSE,"June";"sum (MAY YTD)",#N/A,FALSE,"June YTD"}</definedName>
    <definedName name="ff" localSheetId="13" hidden="1">{"det (May)",#N/A,FALSE,"June";"sum (MAY YTD)",#N/A,FALSE,"June YTD"}</definedName>
    <definedName name="FFF" localSheetId="13" hidden="1">{#N/A,#N/A,FALSE,"지침";#N/A,#N/A,FALSE,"환경분석";#N/A,#N/A,FALSE,"Sheet16"}</definedName>
    <definedName name="fffffffffffff" localSheetId="13" hidden="1">{"'Matrix'!$A$3:$J$47"}</definedName>
    <definedName name="fghfg" localSheetId="13" hidden="1">{"det (May)",#N/A,FALSE,"June";"sum (MAY YTD)",#N/A,FALSE,"June YTD"}</definedName>
    <definedName name="fghfghf" localSheetId="13" hidden="1">{"det (May)",#N/A,FALSE,"June";"sum (MAY YTD)",#N/A,FALSE,"June YTD"}</definedName>
    <definedName name="fgnfgnf" localSheetId="13" hidden="1">{"det (May)",#N/A,FALSE,"June";"sum (MAY YTD)",#N/A,FALSE,"June YTD"}</definedName>
    <definedName name="fgnfxgnxfg"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fgnmfnfg" localSheetId="13" hidden="1">{"det (May)",#N/A,FALSE,"June";"sum (MAY YTD)",#N/A,FALSE,"June YTD"}</definedName>
    <definedName name="fhfghf" localSheetId="13" hidden="1">{"det (May)",#N/A,FALSE,"June";"sum (MAY YTD)",#N/A,FALSE,"June YTD"}</definedName>
    <definedName name="fhgfhx" localSheetId="13" hidden="1">{"det (May)",#N/A,FALSE,"June";"sum (MAY YTD)",#N/A,FALSE,"June YTD"}</definedName>
    <definedName name="fhjfghf" localSheetId="13" hidden="1">{"det (May)",#N/A,FALSE,"June";"sum (MAY YTD)",#N/A,FALSE,"June YTD"}</definedName>
    <definedName name="fhmghmg" localSheetId="13" hidden="1">{"det (May)",#N/A,FALSE,"June";"sum (MAY YTD)",#N/A,FALSE,"June YTD"}</definedName>
    <definedName name="fhmhgmhj"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fhshsf" localSheetId="13" hidden="1">{"det (May)",#N/A,FALSE,"June";"sum (MAY YTD)",#N/A,FALSE,"June YTD"}</definedName>
    <definedName name="Fig" localSheetId="13" hidden="1">{"det (May)",#N/A,FALSE,"June";"sum (MAY YTD)",#N/A,FALSE,"June YTD"}</definedName>
    <definedName name="fjhjgj" localSheetId="13" hidden="1">{"det (May)",#N/A,FALSE,"June";"sum (MAY YTD)",#N/A,FALSE,"June YTD"}</definedName>
    <definedName name="GD" localSheetId="13" hidden="1">{#N/A,#N/A,FALSE,"지침";#N/A,#N/A,FALSE,"환경분석";#N/A,#N/A,FALSE,"Sheet16"}</definedName>
    <definedName name="gfdy" localSheetId="13" hidden="1">{#N/A,#N/A,FALSE,"지침";#N/A,#N/A,FALSE,"환경분석";#N/A,#N/A,FALSE,"Sheet16"}</definedName>
    <definedName name="ggggggggggggggg" localSheetId="13" hidden="1">{"'Matrix'!$A$3:$J$47"}</definedName>
    <definedName name="ghjghj"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ghjghjg" localSheetId="13" hidden="1">{"det (May)",#N/A,FALSE,"June";"sum (MAY YTD)",#N/A,FALSE,"June YTD"}</definedName>
    <definedName name="ghjgjgh" localSheetId="13" hidden="1">{"det (May)",#N/A,FALSE,"June";"sum (MAY YTD)",#N/A,FALSE,"June YTD"}</definedName>
    <definedName name="ghmghm" localSheetId="13" hidden="1">{"det (May)",#N/A,FALSE,"June";"sum (MAY YTD)",#N/A,FALSE,"June YTD"}</definedName>
    <definedName name="ghmghmg" localSheetId="13" hidden="1">{"det (May)",#N/A,FALSE,"June";"sum (MAY YTD)",#N/A,FALSE,"June YTD"}</definedName>
    <definedName name="gjghjgh" localSheetId="13" hidden="1">{"det (May)",#N/A,FALSE,"June";"sum (MAY YTD)",#N/A,FALSE,"June YTD"}</definedName>
    <definedName name="guggygi"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hgkujhk" localSheetId="13" hidden="1">{"det (May)",#N/A,FALSE,"June";"sum (MAY YTD)",#N/A,FALSE,"June YTD"}</definedName>
    <definedName name="hh"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hhhhhhhhhhh" localSheetId="13" hidden="1">{"'Matrix'!$A$3:$J$47"}</definedName>
    <definedName name="hhhhhhhhhhhhh" localSheetId="13" hidden="1">{"'Matrix'!$A$3:$J$47"}</definedName>
    <definedName name="hjgj" localSheetId="13" hidden="1">{"det (May)",#N/A,FALSE,"June";"sum (MAY YTD)",#N/A,FALSE,"June YTD"}</definedName>
    <definedName name="hjhkjh" localSheetId="13" hidden="1">{"det (May)",#N/A,FALSE,"June";"sum (MAY YTD)",#N/A,FALSE,"June YTD"}</definedName>
    <definedName name="hjkhk" localSheetId="13" hidden="1">{"det (May)",#N/A,FALSE,"June";"sum (MAY YTD)",#N/A,FALSE,"June YTD"}</definedName>
    <definedName name="hjkjh" localSheetId="13" hidden="1">{"det (May)",#N/A,FALSE,"June";"sum (MAY YTD)",#N/A,FALSE,"June YTD"}</definedName>
    <definedName name="hmghj" localSheetId="13" hidden="1">{"det (May)",#N/A,FALSE,"June";"sum (MAY YTD)",#N/A,FALSE,"June YTD"}</definedName>
    <definedName name="htdfjty" localSheetId="13" hidden="1">{"det (May)",#N/A,FALSE,"June";"sum (MAY YTD)",#N/A,FALSE,"June YTD"}</definedName>
    <definedName name="HTML_Control" localSheetId="13" hidden="1">{"'RR'!$A$2:$E$81"}</definedName>
    <definedName name="HTML_Control2" localSheetId="13" hidden="1">{"'171'!$A$1:$Z$50"}</definedName>
    <definedName name="ic" localSheetId="13" hidden="1">{#N/A,#N/A,FALSE,"지침";#N/A,#N/A,FALSE,"환경분석";#N/A,#N/A,FALSE,"Sheet16"}</definedName>
    <definedName name="iogfrio" localSheetId="13" hidden="1">{"det (May)",#N/A,FALSE,"June";"sum (MAY YTD)",#N/A,FALSE,"June YTD"}</definedName>
    <definedName name="jdfjewf" localSheetId="13" hidden="1">{#N/A,#N/A,FALSE,"지침";#N/A,#N/A,FALSE,"환경분석";#N/A,#N/A,FALSE,"Sheet16"}</definedName>
    <definedName name="jdjytdj" localSheetId="13" hidden="1">{"det (May)",#N/A,FALSE,"June";"sum (MAY YTD)",#N/A,FALSE,"June YTD"}</definedName>
    <definedName name="jhgjhg" localSheetId="13" hidden="1">{"det (May)",#N/A,FALSE,"June";"sum (MAY YTD)",#N/A,FALSE,"June YTD"}</definedName>
    <definedName name="jhkhjk"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jiop" localSheetId="13" hidden="1">{0,#N/A,FALSE,0;0,#N/A,FALSE,0;0,#N/A,FALSE,0;0,#N/A,FALSE,0;0,#N/A,FALSE,0;0,#N/A,FALSE,0;0,#N/A,FALSE,0;0,#N/A,FALSE,0}</definedName>
    <definedName name="jjjjjjjjjjjjjj" localSheetId="13" hidden="1">{"'Matrix'!$A$3:$J$47"}</definedName>
    <definedName name="jkgjkgh" localSheetId="13" hidden="1">{"det (May)",#N/A,FALSE,"June";"sum (MAY YTD)",#N/A,FALSE,"June YTD"}</definedName>
    <definedName name="jkljlkj"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jljl" localSheetId="13" hidden="1">{"det (May)",#N/A,FALSE,"June";"sum (MAY YTD)",#N/A,FALSE,"June YTD"}</definedName>
    <definedName name="jljljljl" localSheetId="13" hidden="1">{"det (May)",#N/A,FALSE,"June";"sum (MAY YTD)",#N/A,FALSE,"June YTD"}</definedName>
    <definedName name="jljlx" localSheetId="13" hidden="1">{"det (May)",#N/A,FALSE,"June";"sum (MAY YTD)",#N/A,FALSE,"June YTD"}</definedName>
    <definedName name="k" localSheetId="13" hidden="1">{"det (May)",#N/A,FALSE,"June";"sum (MAY YTD)",#N/A,FALSE,"June YTD"}</definedName>
    <definedName name="kegs" localSheetId="13" hidden="1">{"det (May)",#N/A,FALSE,"June";"sum (MAY YTD)",#N/A,FALSE,"June YTD"}</definedName>
    <definedName name="kegsx" localSheetId="13" hidden="1">{"det (May)",#N/A,FALSE,"June";"sum (MAY YTD)",#N/A,FALSE,"June YTD"}</definedName>
    <definedName name="KJ" localSheetId="13" hidden="1">{#N/A,#N/A,FALSE,"지침";#N/A,#N/A,FALSE,"환경분석";#N/A,#N/A,FALSE,"Sheet16"}</definedName>
    <definedName name="kljlklj" localSheetId="13" hidden="1">{"det (May)",#N/A,FALSE,"June";"sum (MAY YTD)",#N/A,FALSE,"June YTD"}</definedName>
    <definedName name="kx" localSheetId="13" hidden="1">{"det (May)",#N/A,FALSE,"June";"sum (MAY YTD)",#N/A,FALSE,"June YTD"}</definedName>
    <definedName name="LAURA"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laurax"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LEE" localSheetId="13" hidden="1">{"det (May)",#N/A,FALSE,"June";"sum (MAY YTD)",#N/A,FALSE,"June YTD"}</definedName>
    <definedName name="m" localSheetId="13" hidden="1">{"'Matrix'!$A$3:$J$47"}</definedName>
    <definedName name="mktg" localSheetId="13" hidden="1">{#N/A,#N/A,FALSE,"지침";#N/A,#N/A,FALSE,"환경분석";#N/A,#N/A,FALSE,"Sheet16"}</definedName>
    <definedName name="mmmmmmmm" localSheetId="13" hidden="1">{"'Matrix'!$A$3:$J$47"}</definedName>
    <definedName name="nn" localSheetId="13" hidden="1">{"det (May)",#N/A,FALSE,"June";"sum (MAY YTD)",#N/A,FALSE,"June YTD"}</definedName>
    <definedName name="o" localSheetId="13" hidden="1">{"det (May)",#N/A,FALSE,"June";"sum (MAY YTD)",#N/A,FALSE,"June YTD"}</definedName>
    <definedName name="o1x" localSheetId="13" hidden="1">{"det (May)",#N/A,FALSE,"June";"sum (MAY YTD)",#N/A,FALSE,"June YTD"}</definedName>
    <definedName name="okbari" localSheetId="13" hidden="1">{"det (May)",#N/A,FALSE,"June";"sum (MAY YTD)",#N/A,FALSE,"June YTD"}</definedName>
    <definedName name="okbaria" localSheetId="13" hidden="1">{"det (May)",#N/A,FALSE,"June";"sum (MAY YTD)",#N/A,FALSE,"June YTD"}</definedName>
    <definedName name="okbaric" localSheetId="13" hidden="1">{"det (May)",#N/A,FALSE,"June";"sum (MAY YTD)",#N/A,FALSE,"June YTD"}</definedName>
    <definedName name="opo" localSheetId="13" hidden="1">{#N/A,#N/A,FALSE,"지침";#N/A,#N/A,FALSE,"환경분석";#N/A,#N/A,FALSE,"Sheet16"}</definedName>
    <definedName name="ox" localSheetId="13" hidden="1">{"det (May)",#N/A,FALSE,"June";"sum (MAY YTD)",#N/A,FALSE,"June YTD"}</definedName>
    <definedName name="POA" localSheetId="13" hidden="1">{"det (May)",#N/A,FALSE,"June";"sum (MAY YTD)",#N/A,FALSE,"June YTD"}</definedName>
    <definedName name="PRO" localSheetId="13" hidden="1">{"det (May)",#N/A,FALSE,"June";"sum (MAY YTD)",#N/A,FALSE,"June YTD"}</definedName>
    <definedName name="rfiuogft"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rieifr" localSheetId="13" hidden="1">{"det (May)",#N/A,FALSE,"June";"sum (MAY YTD)",#N/A,FALSE,"June YTD"}</definedName>
    <definedName name="rieis" localSheetId="13" hidden="1">{"det (May)",#N/A,FALSE,"June";"sum (MAY YTD)",#N/A,FALSE,"June YTD"}</definedName>
    <definedName name="roic" localSheetId="13" hidden="1">{#N/A,#N/A,FALSE,"model"}</definedName>
    <definedName name="rr" localSheetId="13" hidden="1">{"'Matrix'!$A$3:$J$47"}</definedName>
    <definedName name="rrr" localSheetId="13" hidden="1">{0,#N/A,FALSE,0;0,#N/A,FALSE,0;0,#N/A,FALSE,0;0,#N/A,FALSE,0;0,#N/A,FALSE,0;0,#N/A,FALSE,0;0,#N/A,FALSE,0;0,#N/A,FALSE,0}</definedName>
    <definedName name="rrrrr" localSheetId="13" hidden="1">{"'Matrix'!$A$3:$J$47"}</definedName>
    <definedName name="rrrrrrrrr" localSheetId="13" hidden="1">{"'Matrix'!$A$3:$J$47"}</definedName>
    <definedName name="rthrfthr"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rthrghrt" localSheetId="13" hidden="1">{"det (May)",#N/A,FALSE,"June";"sum (MAY YTD)",#N/A,FALSE,"June YTD"}</definedName>
    <definedName name="rx"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rxi" localSheetId="13" hidden="1">{"det (May)",#N/A,FALSE,"June";"sum (MAY YTD)",#N/A,FALSE,"June YTD"}</definedName>
    <definedName name="savings" localSheetId="13" hidden="1">{#N/A,#N/A,FALSE,"지침";#N/A,#N/A,FALSE,"환경분석";#N/A,#N/A,FALSE,"Sheet16"}</definedName>
    <definedName name="Scaba" localSheetId="13" hidden="1">{#N/A,#N/A,FALSE,"지침";#N/A,#N/A,FALSE,"환경분석";#N/A,#N/A,FALSE,"Sheet16"}</definedName>
    <definedName name="sdfsg"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sdg" localSheetId="13" hidden="1">{#N/A,#N/A,FALSE,"지침";#N/A,#N/A,FALSE,"환경분석";#N/A,#N/A,FALSE,"Sheet16"}</definedName>
    <definedName name="sfghd" localSheetId="13" hidden="1">{"det (May)",#N/A,FALSE,"June";"sum (MAY YTD)",#N/A,FALSE,"June YTD"}</definedName>
    <definedName name="sheet1" localSheetId="13" hidden="1">{#N/A,#N/A,FALSE,"지침";#N/A,#N/A,FALSE,"환경분석";#N/A,#N/A,FALSE,"Sheet16"}</definedName>
    <definedName name="Sheet5bvhjvgkghk" localSheetId="13" hidden="1">{"det (May)",#N/A,FALSE,"June";"sum (MAY YTD)",#N/A,FALSE,"June YTD"}</definedName>
    <definedName name="sici" localSheetId="13" hidden="1">{"det (May)",#N/A,FALSE,"June";"sum (MAY YTD)",#N/A,FALSE,"June YTD"}</definedName>
    <definedName name="slov"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slovx"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so" localSheetId="13" hidden="1">{#N/A,#N/A,FALSE,"지침";#N/A,#N/A,FALSE,"환경분석";#N/A,#N/A,FALSE,"Sheet16"}</definedName>
    <definedName name="Soft" localSheetId="13" hidden="1">{"det (May)",#N/A,FALSE,"June";"sum (MAY YTD)",#N/A,FALSE,"June YTD"}</definedName>
    <definedName name="softx" localSheetId="13" hidden="1">{"det (May)",#N/A,FALSE,"June";"sum (MAY YTD)",#N/A,FALSE,"June YTD"}</definedName>
    <definedName name="srthrhrt" localSheetId="13" hidden="1">{"det (May)",#N/A,FALSE,"June";"sum (MAY YTD)",#N/A,FALSE,"June YTD"}</definedName>
    <definedName name="srthtrhjytj" localSheetId="13" hidden="1">{"det (May)",#N/A,FALSE,"June";"sum (MAY YTD)",#N/A,FALSE,"June YTD"}</definedName>
    <definedName name="srtjstjytj" localSheetId="13" hidden="1">{"det (May)",#N/A,FALSE,"June";"sum (MAY YTD)",#N/A,FALSE,"June YTD"}</definedName>
    <definedName name="srtjtyjtyj" localSheetId="13" hidden="1">{"det (May)",#N/A,FALSE,"June";"sum (MAY YTD)",#N/A,FALSE,"June YTD"}</definedName>
    <definedName name="srtyjtyjtyj"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ss" localSheetId="13" hidden="1">{"'RR'!$A$2:$E$81"}</definedName>
    <definedName name="sss" localSheetId="13" hidden="1">{"'RR'!$A$2:$E$81"}</definedName>
    <definedName name="stella" localSheetId="13" hidden="1">{"det (May)",#N/A,FALSE,"June";"sum (MAY YTD)",#N/A,FALSE,"June YTD"}</definedName>
    <definedName name="stellax" localSheetId="13" hidden="1">{"det (May)",#N/A,FALSE,"June";"sum (MAY YTD)",#N/A,FALSE,"June YTD"}</definedName>
    <definedName name="sthstghr" localSheetId="13" hidden="1">{"det (May)",#N/A,FALSE,"June";"sum (MAY YTD)",#N/A,FALSE,"June YTD"}</definedName>
    <definedName name="tdjytjd"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tjdtjytg" localSheetId="13" hidden="1">{"det (May)",#N/A,FALSE,"June";"sum (MAY YTD)",#N/A,FALSE,"June YTD"}</definedName>
    <definedName name="tkuku" localSheetId="13" hidden="1">{"det (May)",#N/A,FALSE,"June";"sum (MAY YTD)",#N/A,FALSE,"June YTD"}</definedName>
    <definedName name="trjtyj"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ttttt" localSheetId="13" hidden="1">{#N/A,#N/A,FALSE,"지침";#N/A,#N/A,FALSE,"환경분석";#N/A,#N/A,FALSE,"Sheet16"}</definedName>
    <definedName name="ty" localSheetId="13" hidden="1">{0,#N/A,FALSE,0;0,#N/A,FALSE,0}</definedName>
    <definedName name="tyjdyj" localSheetId="13" hidden="1">{"det (May)",#N/A,FALSE,"June";"sum (MAY YTD)",#N/A,FALSE,"June YTD"}</definedName>
    <definedName name="tyjtjd" localSheetId="13" hidden="1">{"det (May)",#N/A,FALSE,"June";"sum (MAY YTD)",#N/A,FALSE,"June YTD"}</definedName>
    <definedName name="tyjtyhfrth" localSheetId="13" hidden="1">{"det (May)",#N/A,FALSE,"June";"sum (MAY YTD)",#N/A,FALSE,"June YTD"}</definedName>
    <definedName name="tyktykdty"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tykukyu"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tyujtujty"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ukdtuykfk" localSheetId="13" hidden="1">{"det (May)",#N/A,FALSE,"June";"sum (MAY YTD)",#N/A,FALSE,"June YTD"}</definedName>
    <definedName name="utluilu" localSheetId="13" hidden="1">{"det (May)",#N/A,FALSE,"June";"sum (MAY YTD)",#N/A,FALSE,"June YTD"}</definedName>
    <definedName name="VARI" localSheetId="13" hidden="1">{#N/A,#N/A,FALSE,"지침";#N/A,#N/A,FALSE,"환경분석";#N/A,#N/A,FALSE,"Sheet16"}</definedName>
    <definedName name="VARIA" localSheetId="13" hidden="1">{#N/A,#N/A,FALSE,"지침";#N/A,#N/A,FALSE,"환경분석";#N/A,#N/A,FALSE,"Sheet16"}</definedName>
    <definedName name="w.forecast" localSheetId="13" hidden="1">{#N/A,#N/A,FALSE,"model"}</definedName>
    <definedName name="w.forecast2" localSheetId="13" hidden="1">{#N/A,#N/A,FALSE,"model"}</definedName>
    <definedName name="w2.forecast" localSheetId="13" hidden="1">{#N/A,#N/A,FALSE,"model"}</definedName>
    <definedName name="wer" localSheetId="13" hidden="1">{#N/A,#N/A,FALSE,"지침";#N/A,#N/A,FALSE,"환경분석";#N/A,#N/A,FALSE,"Sheet16"}</definedName>
    <definedName name="werftdsfgdfg" localSheetId="13" hidden="1">{"det (May)",#N/A,FALSE,"June";"sum (MAY YTD)",#N/A,FALSE,"June YTD"}</definedName>
    <definedName name="wgyerhy" localSheetId="13" hidden="1">{#N/A,#N/A,FALSE,"지침";#N/A,#N/A,FALSE,"환경분석";#N/A,#N/A,FALSE,"Sheet16"}</definedName>
    <definedName name="wrg.aug" localSheetId="13" hidden="1">{"det (May)",#N/A,FALSE,"June";"sum (MAY YTD)",#N/A,FALSE,"June YTD"}</definedName>
    <definedName name="wrn.97." localSheetId="13" hidden="1">{#N/A,#N/A,FALSE,"지침";#N/A,#N/A,FALSE,"환경분석";#N/A,#N/A,FALSE,"Sheet16"}</definedName>
    <definedName name="wrn.ALL." localSheetId="13" hidden="1">{#N/A,#N/A,FALSE,"DCF";#N/A,#N/A,FALSE,"WACC";#N/A,#N/A,FALSE,"Sales_EBIT";#N/A,#N/A,FALSE,"Capex_Depreciation";#N/A,#N/A,FALSE,"WC";#N/A,#N/A,FALSE,"Interest";#N/A,#N/A,FALSE,"Assumptions"}</definedName>
    <definedName name="wrn.aug" localSheetId="13" hidden="1">{"det (May)",#N/A,FALSE,"June";"sum (MAY YTD)",#N/A,FALSE,"June YTD"}</definedName>
    <definedName name="wrn.augyt" localSheetId="13" hidden="1">{"det (May)",#N/A,FALSE,"June";"sum (MAY YTD)",#N/A,FALSE,"June YTD"}</definedName>
    <definedName name="wrn.augYTD" localSheetId="13" hidden="1">{"det (May)",#N/A,FALSE,"June";"sum (MAY YTD)",#N/A,FALSE,"June YTD"}</definedName>
    <definedName name="wrn.augYTDx" localSheetId="13" hidden="1">{"det (May)",#N/A,FALSE,"June";"sum (MAY YTD)",#N/A,FALSE,"June YTD"}</definedName>
    <definedName name="wrn.augytx" localSheetId="13" hidden="1">{"det (May)",#N/A,FALSE,"June";"sum (MAY YTD)",#N/A,FALSE,"June YTD"}</definedName>
    <definedName name="wrn.brol."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wrn.Coded._.IAS._.FS." localSheetId="13" hidden="1">{"IASTrail",#N/A,FALSE,"IAS"}</definedName>
    <definedName name="wrn.DCFEpervier." localSheetId="13"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Fixed._.Assets._.Note._.and._.Depreciation." localSheetId="13" hidden="1">{#N/A,#N/A,FALSE,"FA_1";#N/A,#N/A,FALSE,"Dep'n SE";#N/A,#N/A,FALSE,"Dep'n FC"}</definedName>
    <definedName name="wrn.forecast." localSheetId="13" hidden="1">{#N/A,#N/A,FALSE,"model"}</definedName>
    <definedName name="wrn.forecast2" localSheetId="13" hidden="1">{#N/A,#N/A,FALSE,"model"}</definedName>
    <definedName name="wrn.forecastassumptions." localSheetId="13" hidden="1">{#N/A,#N/A,FALSE,"model"}</definedName>
    <definedName name="wrn.forecastassumptions2" localSheetId="13" hidden="1">{#N/A,#N/A,FALSE,"model"}</definedName>
    <definedName name="wrn.forecastROIC." localSheetId="13" hidden="1">{#N/A,#N/A,FALSE,"model"}</definedName>
    <definedName name="wrn.Full._.IAS._.STATEMENTS." localSheetId="13" hidden="1">{"IASBS",#N/A,FALSE,"IAS";"IASPL",#N/A,FALSE,"IAS";#N/A,#N/A,FALSE,"CF DIR";"IASNotes",#N/A,FALSE,"IAS";#N/A,#N/A,FALSE,"FA_1";#N/A,#N/A,FALSE,"Dep'n FC";#N/A,#N/A,FALSE,"Dep'n SE";#N/A,#N/A,FALSE,"Inv_1";#N/A,#N/A,FALSE,"NMG";#N/A,#N/A,FALSE,"Recon";#N/A,#N/A,FALSE,"EPS"}</definedName>
    <definedName name="wrn.Full._.TRAIL." localSheetId="13" hidden="1">{"IAS Mapping",#N/A,FALSE,"RSA_FS";#N/A,#N/A,FALSE,"CHECK!";#N/A,#N/A,FALSE,"Recon";#N/A,#N/A,FALSE,"NMG";#N/A,#N/A,FALSE,"Journals";"AnalRSA",#N/A,FALSE,"PL-Anal";"AnalIAS",#N/A,FALSE,"PL-Anal";#N/A,#N/A,FALSE,"COS"}</definedName>
    <definedName name="wrn.Help." localSheetId="13" hidden="1">{#N/A,#N/A,TRUE,"MAP";#N/A,#N/A,TRUE,"STEPS";#N/A,#N/A,TRUE,"RULES"}</definedName>
    <definedName name="wrn.history." localSheetId="13" hidden="1">{#N/A,#N/A,FALSE,"model"}</definedName>
    <definedName name="wrn.histROIC." localSheetId="13" hidden="1">{#N/A,#N/A,FALSE,"model"}</definedName>
    <definedName name="wrn.IAS._.BS._.PL._.CF._.and._.Notes." localSheetId="13" hidden="1">{"IASBS",#N/A,TRUE,"IAS";"IASPL",#N/A,TRUE,"IAS";"IASNotes",#N/A,TRUE,"IAS";"CFDir - expanded",#N/A,TRUE,"CF DIR"}</definedName>
    <definedName name="wrn.IAS._.FS._.ZOOMED._.IN._.Forms." localSheetId="13" hidden="1">{"IAS_ShortView_1",#N/A,FALSE,"IAS";"IAS_ShortView_2",#N/A,FALSE,"IAS";"IAS_ShortView_3",#N/A,FALSE,"IAS";"IAS_ShortView_4",#N/A,FALSE,"IAS";"IAS_ShortView_5",#N/A,FALSE,"IAS";"IAS_ShortView_6",#N/A,FALSE,"IAS";"IAS_ShortView_7",#N/A,FALSE,"IAS";"CFDir - Zoomed In",#N/A,FALSE,"CF DIR"}</definedName>
    <definedName name="wrn.IAS._.Mapping." localSheetId="13" hidden="1">{"IAS Mapping",#N/A,TRUE,"RSA_FS"}</definedName>
    <definedName name="wrn.Inflation._.factors._.used." localSheetId="13" hidden="1">{#N/A,#N/A,FALSE,"Infl_fact"}</definedName>
    <definedName name="wrn.June." localSheetId="13" hidden="1">{"det (May)",#N/A,FALSE,"June";"sum (MAY YTD)",#N/A,FALSE,"June YTD"}</definedName>
    <definedName name="wrn.PL._.Analysis." localSheetId="13" hidden="1">{"AnalRSA",#N/A,TRUE,"PL-Anal";"AnalIAS",#N/A,TRUE,"PL-Anal"}</definedName>
    <definedName name="wrn.ptp." localSheetId="13" hidden="1">{#N/A,#N/A,FALSE,"RELATÓRIO";#N/A,#N/A,FALSE,"RELATÓRIO"}</definedName>
    <definedName name="wrn.RSA._.BS._.and._.PL." localSheetId="13" hidden="1">{"BS1",#N/A,TRUE,"RSA_FS";"BS2",#N/A,TRUE,"RSA_FS";"BS3",#N/A,TRUE,"RSA_FS"}</definedName>
    <definedName name="wrn1.aug" localSheetId="13" hidden="1">{"det (May)",#N/A,FALSE,"June";"sum (MAY YTD)",#N/A,FALSE,"June YTD"}</definedName>
    <definedName name="wrn1.augtyd" localSheetId="13" hidden="1">{"det (May)",#N/A,FALSE,"June";"sum (MAY YTD)",#N/A,FALSE,"June YTD"}</definedName>
    <definedName name="wrn1.augyt" localSheetId="13" hidden="1">{"det (May)",#N/A,FALSE,"June";"sum (MAY YTD)",#N/A,FALSE,"June YTD"}</definedName>
    <definedName name="wrn1.brol"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wrn1.june" localSheetId="13" hidden="1">{"det (May)",#N/A,FALSE,"June";"sum (MAY YTD)",#N/A,FALSE,"June YTD"}</definedName>
    <definedName name="wrn2.brol"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wrn2.june" localSheetId="13" hidden="1">{"det (May)",#N/A,FALSE,"June";"sum (MAY YTD)",#N/A,FALSE,"June YTD"}</definedName>
    <definedName name="ww" localSheetId="13" hidden="1">{"det (May)",#N/A,FALSE,"June";"sum (MAY YTD)",#N/A,FALSE,"June YTD"}</definedName>
    <definedName name="WWW" localSheetId="13" hidden="1">{"'Matrix'!$A$3:$J$47"}</definedName>
    <definedName name="xfjxfgj" localSheetId="13" hidden="1">{"det (May)",#N/A,FALSE,"June";"sum (MAY YTD)",#N/A,FALSE,"June YTD"}</definedName>
    <definedName name="xfjxfj" localSheetId="13" hidden="1">{"det (May)",#N/A,FALSE,"June";"sum (MAY YTD)",#N/A,FALSE,"June YTD"}</definedName>
    <definedName name="xgfngfnf" localSheetId="13" hidden="1">{"det (May)",#N/A,FALSE,"June";"sum (MAY YTD)",#N/A,FALSE,"June YTD"}</definedName>
    <definedName name="xieir"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xir" localSheetId="13" hidden="1">{"det (May)",#N/A,FALSE,"June";"sum (MAY YTD)",#N/A,FALSE,"June YTD"}</definedName>
    <definedName name="xkdirhj" localSheetId="13" hidden="1">{"det (May)",#N/A,FALSE,"June";"sum (MAY YTD)",#N/A,FALSE,"June YTD"}</definedName>
    <definedName name="xkei0ori"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XX" localSheetId="13" hidden="1">{"'Matrix'!$A$3:$J$47"}</definedName>
    <definedName name="xxx" localSheetId="13" hidden="1">{"'Matrix'!$A$3:$J$47"}</definedName>
    <definedName name="xxxx" localSheetId="13" hidden="1">{"det (May)",#N/A,FALSE,"June";"sum (MAY YTD)",#N/A,FALSE,"June YTD"}</definedName>
    <definedName name="yrjytjtyjd" localSheetId="13" hidden="1">{"det (May)",#N/A,FALSE,"June";"sum (MAY YTD)",#N/A,FALSE,"June YTD"}</definedName>
    <definedName name="yrkyuky" localSheetId="13" hidden="1">{"det (May)",#N/A,FALSE,"June";"sum (MAY YTD)",#N/A,FALSE,"June YTD"}</definedName>
    <definedName name="yrliulu" localSheetId="13" hidden="1">{"det (May)",#N/A,FALSE,"June";"sum (MAY YTD)",#N/A,FALSE,"June YTD"}</definedName>
    <definedName name="ytjtyjtyj" localSheetId="13" hidden="1">{"det (May)",#N/A,FALSE,"June";"sum (MAY YTD)",#N/A,FALSE,"June YTD"}</definedName>
    <definedName name="ytjyjy"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yyy" localSheetId="13" hidden="1">{#N/A,#N/A,FALSE,"지침";#N/A,#N/A,FALSE,"환경분석";#N/A,#N/A,FALSE,"Sheet16"}</definedName>
    <definedName name="yyyy" localSheetId="13" hidden="1">{"'Matrix'!$A$3:$J$47"}</definedName>
    <definedName name="yyyyy" localSheetId="13" hidden="1">{"'Matrix'!$A$3:$J$47"}</definedName>
    <definedName name="yyyyyyyyy" localSheetId="13" hidden="1">{"'Matrix'!$A$3:$J$47"}</definedName>
    <definedName name="zdfg" localSheetId="13" hidden="1">{"det (May)",#N/A,FALSE,"June";"sum (MAY YTD)",#N/A,FALSE,"June YTD"}</definedName>
    <definedName name="zeljka" localSheetId="13" hidden="1">{"det (May)",#N/A,FALSE,"June";"sum (MAY YTD)",#N/A,FALSE,"June YTD"}</definedName>
    <definedName name="zeljka1" localSheetId="13" hidden="1">{"det (May)",#N/A,FALSE,"June";"sum (MAY YTD)",#N/A,FALSE,"June YTD"}</definedName>
    <definedName name="zeljka2" localSheetId="13" hidden="1">{"04-12brpr",#N/A,FALSE,"Total jan-dec";"05brpr",#N/A,FALSE,"Total jan-dec";"07brpr",#N/A,FALSE,"Total jan-dec";"01-12absdet",#N/A,FALSE,"Total jan-dec";"01-12abs",#N/A,FALSE,"Total jan-dec";"04-12abs",#N/A,FALSE,"Total jan-dec";"04-12absdet",#N/A,FALSE,"Total jan-dec";"01-12hl",#N/A,FALSE,"Total jan-dec";"04-12HL",#N/A,FALSE,"Total jan-dec"}</definedName>
    <definedName name="zeljka3" localSheetId="13" hidden="1">{"det (May)",#N/A,FALSE,"June";"sum (MAY YTD)",#N/A,FALSE,"June YTD"}</definedName>
    <definedName name="zz" localSheetId="13" hidden="1">{"'Matrix'!$A$3:$J$47"}</definedName>
    <definedName name="zzz" localSheetId="13" hidden="1">{"det (May)",#N/A,FALSE,"June";"sum (MAY YTD)",#N/A,FALSE,"June YTD"}</definedName>
    <definedName name="zzzzzzzzzzz" localSheetId="13" hidden="1">{"'Matrix'!$A$3:$J$47"}</definedName>
    <definedName name="ㄱㄱㄱㄱ" localSheetId="13" hidden="1">{#N/A,#N/A,FALSE,"지침";#N/A,#N/A,FALSE,"환경분석";#N/A,#N/A,FALSE,"Sheet16"}</definedName>
    <definedName name="가나" localSheetId="13" hidden="1">{#N/A,#N/A,FALSE,"지침";#N/A,#N/A,FALSE,"환경분석";#N/A,#N/A,FALSE,"Sheet16"}</definedName>
    <definedName name="경제성" localSheetId="13" hidden="1">{#N/A,#N/A,FALSE,"지침";#N/A,#N/A,FALSE,"환경분석";#N/A,#N/A,FALSE,"Sheet16"}</definedName>
    <definedName name="고" localSheetId="13" hidden="1">{#N/A,#N/A,FALSE,"지침";#N/A,#N/A,FALSE,"환경분석";#N/A,#N/A,FALSE,"Sheet16"}</definedName>
    <definedName name="광" localSheetId="13" hidden="1">{#N/A,#N/A,FALSE,"지침";#N/A,#N/A,FALSE,"환경분석";#N/A,#N/A,FALSE,"Sheet16"}</definedName>
    <definedName name="김재현" localSheetId="13" hidden="1">{#N/A,#N/A,FALSE,"지침";#N/A,#N/A,FALSE,"환경분석";#N/A,#N/A,FALSE,"Sheet16"}</definedName>
    <definedName name="ㄴㅇㄹ호" localSheetId="13" hidden="1">{#N/A,#N/A,FALSE,"지침";#N/A,#N/A,FALSE,"환경분석";#N/A,#N/A,FALSE,"Sheet16"}</definedName>
    <definedName name="ㅁ" localSheetId="13" hidden="1">{#N/A,#N/A,FALSE,"지침";#N/A,#N/A,FALSE,"환경분석";#N/A,#N/A,FALSE,"Sheet16"}</definedName>
    <definedName name="ㅁㅁ" localSheetId="13" hidden="1">{"det (May)",#N/A,FALSE,"June";"sum (MAY YTD)",#N/A,FALSE,"June YTD"}</definedName>
    <definedName name="ㅁㅁㅁ" localSheetId="13" hidden="1">{#N/A,#N/A,FALSE,"지침";#N/A,#N/A,FALSE,"환경분석";#N/A,#N/A,FALSE,"Sheet16"}</definedName>
    <definedName name="비상l" localSheetId="13" hidden="1">{#N/A,#N/A,FALSE,"지침";#N/A,#N/A,FALSE,"환경분석";#N/A,#N/A,FALSE,"Sheet16"}</definedName>
    <definedName name="사" localSheetId="13" hidden="1">{#N/A,#N/A,FALSE,"지침";#N/A,#N/A,FALSE,"환경분석";#N/A,#N/A,FALSE,"Sheet16"}</definedName>
    <definedName name="사1" localSheetId="13" hidden="1">{#N/A,#N/A,FALSE,"지침";#N/A,#N/A,FALSE,"환경분석";#N/A,#N/A,FALSE,"Sheet16"}</definedName>
    <definedName name="생2" localSheetId="13" hidden="1">{#N/A,#N/A,FALSE,"지침";#N/A,#N/A,FALSE,"환경분석";#N/A,#N/A,FALSE,"Sheet16"}</definedName>
    <definedName name="ㅇ" localSheetId="13" hidden="1">{#N/A,#N/A,FALSE,"지침";#N/A,#N/A,FALSE,"환경분석";#N/A,#N/A,FALSE,"Sheet16"}</definedName>
    <definedName name="ㅇㅇㅇㅇㅇ" localSheetId="13" hidden="1">{#N/A,#N/A,FALSE,"지침";#N/A,#N/A,FALSE,"환경분석";#N/A,#N/A,FALSE,"Sheet16"}</definedName>
    <definedName name="양식" localSheetId="13" hidden="1">{#N/A,#N/A,FALSE,"지침";#N/A,#N/A,FALSE,"환경분석";#N/A,#N/A,FALSE,"Sheet16"}</definedName>
    <definedName name="인쇄" localSheetId="13" hidden="1">{#N/A,#N/A,FALSE,"지침";#N/A,#N/A,FALSE,"환경분석";#N/A,#N/A,FALSE,"Sheet16"}</definedName>
    <definedName name="인쇄BU" localSheetId="13" hidden="1">{#N/A,#N/A,FALSE,"지침";#N/A,#N/A,FALSE,"환경분석";#N/A,#N/A,FALSE,"Sheet16"}</definedName>
    <definedName name="ㅈㅈㅈ" localSheetId="13" hidden="1">{#N/A,#N/A,FALSE,"지침";#N/A,#N/A,FALSE,"환경분석";#N/A,#N/A,FALSE,"Sheet16"}</definedName>
    <definedName name="전략부품" localSheetId="13" hidden="1">{#N/A,#N/A,FALSE,"지침";#N/A,#N/A,FALSE,"환경분석";#N/A,#N/A,FALSE,"Sheet16"}</definedName>
    <definedName name="제품I067606" localSheetId="13" hidden="1">{#N/A,#N/A,FALSE,"지침";#N/A,#N/A,FALSE,"환경분석";#N/A,#N/A,FALSE,"Sheet16"}</definedName>
    <definedName name="주" localSheetId="13" hidden="1">{#N/A,#N/A,FALSE,"지침";#N/A,#N/A,FALSE,"환경분석";#N/A,#N/A,FALSE,"Sheet16"}</definedName>
    <definedName name="청원공장1" localSheetId="13" hidden="1">{#N/A,#N/A,FALSE,"지침";#N/A,#N/A,FALSE,"환경분석";#N/A,#N/A,FALSE,"Sheet16"}</definedName>
    <definedName name="ㅀ효ㅇㄱ쇼셔ㅓ쇼ㅓ" localSheetId="13" hidden="1">{#N/A,#N/A,FALSE,"지침";#N/A,#N/A,FALSE,"환경분석";#N/A,#N/A,FALSE,"Sheet16"}</definedName>
    <definedName name="ㅏㅓ" localSheetId="13" hidden="1">{#N/A,#N/A,FALSE,"지침";#N/A,#N/A,FALSE,"환경분석";#N/A,#N/A,FALSE,"Sheet16"}</definedName>
    <definedName name="ㅐㅐㅐ" localSheetId="13" hidden="1">{#N/A,#N/A,FALSE,"지침";#N/A,#N/A,FALSE,"환경분석";#N/A,#N/A,FALSE,"Sheet16"}</definedName>
    <definedName name="ㅓㅗㅎ헛" localSheetId="13" hidden="1">{#N/A,#N/A,FALSE,"지침";#N/A,#N/A,FALSE,"환경분석";#N/A,#N/A,FALSE,"Sheet16"}</definedName>
    <definedName name="ㅔ" localSheetId="13" hidden="1">{#N/A,#N/A,FALSE,"지침";#N/A,#N/A,FALSE,"환경분석";#N/A,#N/A,FALSE,"Sheet16"}</definedName>
    <definedName name="ㅠㅠㅠ" localSheetId="13" hidden="1">{#N/A,#N/A,FALSE,"지침";#N/A,#N/A,FALSE,"환경분석";#N/A,#N/A,FALSE,"Sheet16"}</definedName>
    <definedName name="ㅡㅡㅡ" localSheetId="13" hidden="1">{#N/A,#N/A,FALSE,"지침";#N/A,#N/A,FALSE,"환경분석";#N/A,#N/A,FALSE,"Sheet16"}</definedName>
  </definedNames>
  <calcPr calcId="191029" fullCalcOnLoad="1"/>
</workbook>
</file>

<file path=xl/styles.xml><?xml version="1.0" encoding="utf-8"?>
<styleSheet xmlns="http://schemas.openxmlformats.org/spreadsheetml/2006/main">
  <numFmts count="4">
    <numFmt numFmtId="164" formatCode="[$-409]dd\-mmm\-yy;@"/>
    <numFmt numFmtId="165" formatCode="&quot;$&quot;#,##0"/>
    <numFmt numFmtId="166" formatCode="0.0%"/>
    <numFmt numFmtId="167" formatCode="[$-F400]h:mm:ss\ AM/PM"/>
  </numFmts>
  <fonts count="57">
    <font>
      <name val="Calibri"/>
      <family val="2"/>
      <color theme="1"/>
      <sz val="11"/>
      <scheme val="minor"/>
    </font>
    <font>
      <name val="Calibri"/>
      <charset val="204"/>
      <family val="2"/>
      <color theme="1"/>
      <sz val="11"/>
      <scheme val="minor"/>
    </font>
    <font>
      <name val="Calibri"/>
      <charset val="204"/>
      <family val="2"/>
      <color theme="10"/>
      <sz val="11"/>
      <u val="single"/>
      <scheme val="minor"/>
    </font>
    <font>
      <name val="Arial"/>
      <charset val="204"/>
      <family val="2"/>
      <color theme="1"/>
      <sz val="11"/>
    </font>
    <font>
      <name val="Arial Cyr"/>
      <charset val="204"/>
      <color theme="10"/>
      <sz val="10"/>
      <u val="single"/>
    </font>
    <font>
      <name val="Arial Cyr"/>
      <charset val="204"/>
      <sz val="10"/>
    </font>
    <font>
      <name val="Calibri"/>
      <family val="2"/>
      <color theme="10"/>
      <sz val="11"/>
      <u val="single"/>
      <scheme val="minor"/>
    </font>
    <font>
      <name val="Cambria"/>
      <charset val="204"/>
      <family val="1"/>
      <color theme="1"/>
      <sz val="11"/>
    </font>
    <font>
      <name val="Cambria"/>
      <charset val="204"/>
      <family val="1"/>
      <b val="1"/>
      <color theme="1"/>
      <sz val="11"/>
    </font>
    <font>
      <name val="Cambria"/>
      <charset val="204"/>
      <family val="1"/>
      <color theme="10"/>
      <sz val="11"/>
      <u val="single"/>
    </font>
    <font>
      <name val="Cambria"/>
      <charset val="204"/>
      <family val="1"/>
      <b val="1"/>
      <color rgb="FF27A348"/>
      <sz val="24"/>
    </font>
    <font>
      <name val="Cambria"/>
      <charset val="204"/>
      <family val="1"/>
      <b val="1"/>
      <color rgb="FF992723"/>
      <sz val="18"/>
    </font>
    <font>
      <name val="Cambria"/>
      <charset val="204"/>
      <family val="1"/>
      <color rgb="FF194697"/>
      <sz val="11"/>
    </font>
    <font>
      <name val="Cambria"/>
      <charset val="204"/>
      <family val="1"/>
      <color rgb="FF194697"/>
      <sz val="14"/>
    </font>
    <font>
      <name val="Cambria"/>
      <charset val="204"/>
      <family val="1"/>
      <color theme="1"/>
      <sz val="14"/>
    </font>
    <font>
      <name val="Cambria"/>
      <charset val="204"/>
      <family val="1"/>
      <b val="1"/>
      <color theme="1"/>
      <sz val="14"/>
    </font>
    <font>
      <name val="Cambria"/>
      <charset val="204"/>
      <family val="1"/>
      <b val="1"/>
      <sz val="16"/>
    </font>
    <font>
      <name val="Cambria"/>
      <charset val="204"/>
      <family val="1"/>
      <color theme="1"/>
      <sz val="16"/>
    </font>
    <font>
      <name val="Cambria"/>
      <charset val="204"/>
      <family val="1"/>
      <color theme="1"/>
      <sz val="72"/>
    </font>
    <font>
      <name val="Cambria"/>
      <charset val="204"/>
      <family val="1"/>
      <sz val="16"/>
    </font>
    <font>
      <name val="Cambria"/>
      <charset val="204"/>
      <family val="1"/>
      <i val="1"/>
      <color rgb="FF339966"/>
      <sz val="16"/>
    </font>
    <font>
      <name val="Cambria"/>
      <charset val="204"/>
      <family val="1"/>
      <i val="1"/>
      <color theme="1"/>
      <sz val="16"/>
    </font>
    <font>
      <name val="Cambria"/>
      <charset val="204"/>
      <family val="1"/>
      <b val="1"/>
      <color rgb="FF00B050"/>
      <sz val="16"/>
    </font>
    <font>
      <name val="Cambria"/>
      <charset val="204"/>
      <family val="1"/>
      <b val="1"/>
      <color rgb="FFFF0000"/>
      <sz val="16"/>
    </font>
    <font>
      <name val="Cambria"/>
      <charset val="204"/>
      <family val="1"/>
      <b val="1"/>
      <color theme="1"/>
      <sz val="16"/>
      <u val="single"/>
    </font>
    <font>
      <name val="Cambria"/>
      <charset val="204"/>
      <family val="1"/>
      <b val="1"/>
      <color theme="1"/>
      <sz val="16"/>
    </font>
    <font>
      <name val="Cambria"/>
      <charset val="204"/>
      <family val="1"/>
      <b val="1"/>
      <color rgb="FF7030A0"/>
      <sz val="16"/>
    </font>
    <font>
      <name val="Cambria"/>
      <charset val="204"/>
      <family val="1"/>
      <color rgb="FFC00000"/>
      <sz val="16"/>
    </font>
    <font>
      <name val="Cambria"/>
      <charset val="204"/>
      <family val="1"/>
      <b val="1"/>
      <color rgb="FF339966"/>
      <sz val="16"/>
    </font>
    <font>
      <name val="Cambria"/>
      <charset val="204"/>
      <family val="1"/>
      <color rgb="FF339966"/>
      <sz val="16"/>
    </font>
    <font>
      <name val="Cambria"/>
      <charset val="204"/>
      <family val="1"/>
      <b val="1"/>
      <color rgb="FF000000"/>
      <sz val="16"/>
    </font>
    <font>
      <name val="Cambria"/>
      <charset val="204"/>
      <family val="1"/>
      <b val="1"/>
      <color rgb="FF27A348"/>
      <sz val="16"/>
    </font>
    <font>
      <name val="Cambria"/>
      <charset val="204"/>
      <family val="1"/>
      <b val="1"/>
      <color theme="0"/>
      <sz val="12"/>
    </font>
    <font>
      <name val="Cambria"/>
      <charset val="204"/>
      <family val="1"/>
      <color rgb="FF2C2C2D"/>
      <sz val="14"/>
    </font>
    <font>
      <name val="Cambria"/>
      <charset val="204"/>
      <family val="1"/>
      <i val="1"/>
      <color rgb="FF2C2C2D"/>
      <sz val="14"/>
    </font>
    <font>
      <name val="Cambria"/>
      <charset val="204"/>
      <family val="1"/>
      <b val="1"/>
      <i val="1"/>
      <color theme="4" tint="-0.249977111117893"/>
      <sz val="14"/>
    </font>
    <font>
      <name val="Cambria"/>
      <charset val="204"/>
      <family val="1"/>
      <b val="1"/>
      <sz val="11"/>
    </font>
    <font>
      <name val="Cambria"/>
      <charset val="204"/>
      <family val="1"/>
      <color theme="1"/>
      <sz val="18"/>
    </font>
    <font>
      <name val="Cambria"/>
      <charset val="204"/>
      <family val="1"/>
      <sz val="11"/>
    </font>
    <font>
      <name val="Cambria"/>
      <charset val="204"/>
      <family val="1"/>
      <b val="1"/>
      <color theme="1"/>
      <sz val="12"/>
    </font>
    <font>
      <name val="Cambria"/>
      <charset val="204"/>
      <family val="1"/>
      <i val="1"/>
      <color theme="1"/>
      <sz val="11"/>
    </font>
    <font>
      <name val="Cambria"/>
      <charset val="204"/>
      <family val="1"/>
      <color theme="1"/>
      <sz val="12"/>
    </font>
    <font>
      <name val="Cambria"/>
      <charset val="204"/>
      <family val="1"/>
      <color rgb="FF2F2F2F"/>
      <sz val="12"/>
    </font>
    <font>
      <name val="Cambria"/>
      <charset val="204"/>
      <family val="1"/>
      <color rgb="FF000000"/>
      <sz val="12"/>
    </font>
    <font>
      <name val="Cambria"/>
      <charset val="204"/>
      <family val="1"/>
      <sz val="12"/>
    </font>
    <font>
      <name val="Cambria"/>
      <charset val="204"/>
      <family val="1"/>
      <color rgb="FF339966"/>
      <sz val="12"/>
    </font>
    <font>
      <name val="Cambria"/>
      <charset val="204"/>
      <family val="1"/>
      <b val="1"/>
      <sz val="12"/>
    </font>
    <font>
      <name val="Cambria"/>
      <charset val="204"/>
      <family val="1"/>
      <b val="1"/>
      <color rgb="FF339966"/>
      <sz val="12"/>
    </font>
    <font>
      <name val="Cambria"/>
      <charset val="204"/>
      <family val="1"/>
      <b val="1"/>
      <color rgb="FFFF0000"/>
      <sz val="12"/>
    </font>
    <font>
      <name val="Cambria"/>
      <charset val="204"/>
      <family val="1"/>
      <i val="1"/>
      <color rgb="FFFF0000"/>
      <sz val="11"/>
    </font>
    <font>
      <name val="Cambria"/>
      <charset val="204"/>
      <family val="1"/>
      <b val="1"/>
      <color theme="1" tint="0.249946592608417"/>
      <sz val="11"/>
    </font>
    <font>
      <name val="Cambria"/>
      <charset val="204"/>
      <family val="1"/>
      <color theme="1" tint="0.249946592608417"/>
      <sz val="11"/>
    </font>
    <font>
      <name val="Cambria"/>
      <charset val="204"/>
      <family val="1"/>
      <b val="1"/>
      <color theme="0"/>
      <sz val="11"/>
    </font>
    <font>
      <name val="Cambria"/>
      <charset val="204"/>
      <family val="1"/>
      <i val="1"/>
      <color theme="9"/>
      <sz val="14"/>
    </font>
    <font>
      <name val="Cambria"/>
      <charset val="204"/>
      <family val="1"/>
      <color theme="3" tint="-0.249977111117893"/>
      <sz val="14"/>
    </font>
    <font>
      <name val="Cambria"/>
      <charset val="204"/>
      <family val="1"/>
      <i val="1"/>
      <color theme="9"/>
      <sz val="11"/>
    </font>
    <font>
      <name val="Cambria"/>
      <charset val="204"/>
      <family val="1"/>
      <color theme="3" tint="-0.249977111117893"/>
      <sz val="12"/>
    </font>
  </fonts>
  <fills count="43">
    <fill>
      <patternFill/>
    </fill>
    <fill>
      <patternFill patternType="gray125"/>
    </fill>
    <fill>
      <patternFill patternType="solid">
        <fgColor theme="0"/>
        <bgColor indexed="64"/>
      </patternFill>
    </fill>
    <fill>
      <patternFill patternType="solid">
        <fgColor theme="9" tint="0.7999816888943144"/>
        <bgColor indexed="64"/>
      </patternFill>
    </fill>
    <fill>
      <patternFill patternType="solid">
        <fgColor rgb="FFED7D31"/>
        <bgColor rgb="FFED7D31"/>
      </patternFill>
    </fill>
    <fill>
      <patternFill patternType="solid">
        <fgColor rgb="FFFFFFFF"/>
        <bgColor rgb="FFFFFFFF"/>
      </patternFill>
    </fill>
    <fill>
      <patternFill patternType="solid">
        <fgColor theme="8" tint="0.5999938962981048"/>
        <bgColor indexed="64"/>
      </patternFill>
    </fill>
    <fill>
      <patternFill patternType="solid">
        <fgColor rgb="FF8EDAB4"/>
        <bgColor indexed="64"/>
      </patternFill>
    </fill>
    <fill>
      <patternFill patternType="solid">
        <fgColor rgb="FFC3EBD7"/>
        <bgColor indexed="64"/>
      </patternFill>
    </fill>
    <fill>
      <patternFill patternType="solid">
        <fgColor theme="8" tint="-0.499984740745262"/>
        <bgColor indexed="64"/>
      </patternFill>
    </fill>
    <fill>
      <patternFill patternType="solid">
        <fgColor theme="7"/>
        <bgColor indexed="64"/>
      </patternFill>
    </fill>
    <fill>
      <patternFill patternType="solid">
        <fgColor theme="5"/>
        <bgColor theme="5"/>
      </patternFill>
    </fill>
    <fill>
      <patternFill patternType="solid">
        <fgColor theme="7" tint="0.7999816888943144"/>
        <bgColor indexed="64"/>
      </patternFill>
    </fill>
    <fill>
      <patternFill patternType="solid">
        <fgColor theme="8" tint="-0.249977111117893"/>
        <bgColor indexed="64"/>
      </patternFill>
    </fill>
    <fill>
      <patternFill patternType="solid">
        <fgColor rgb="FFFFFF00"/>
        <bgColor indexed="64"/>
      </patternFill>
    </fill>
    <fill>
      <patternFill patternType="solid">
        <fgColor rgb="FF0070C0"/>
        <bgColor indexed="64"/>
      </patternFill>
    </fill>
    <fill>
      <patternFill patternType="solid">
        <fgColor theme="7" tint="0.3999755851924192"/>
        <bgColor indexed="64"/>
      </patternFill>
    </fill>
    <fill>
      <patternFill patternType="solid">
        <fgColor theme="9" tint="0.3999755851924192"/>
        <bgColor indexed="64"/>
      </patternFill>
    </fill>
    <fill>
      <patternFill patternType="solid">
        <fgColor theme="9" tint="0.5999938962981048"/>
        <bgColor indexed="64"/>
      </patternFill>
    </fill>
    <fill>
      <patternFill patternType="solid">
        <fgColor theme="2"/>
        <bgColor indexed="64"/>
      </patternFill>
    </fill>
    <fill>
      <patternFill patternType="solid">
        <fgColor theme="2" tint="-0.09997863704336681"/>
        <bgColor indexed="64"/>
      </patternFill>
    </fill>
    <fill>
      <patternFill patternType="solid">
        <fgColor rgb="FFFFC000"/>
        <bgColor indexed="64"/>
      </patternFill>
    </fill>
    <fill>
      <patternFill patternType="solid">
        <fgColor theme="4" tint="-0.249977111117893"/>
        <bgColor indexed="64"/>
      </patternFill>
    </fill>
    <fill>
      <patternFill patternType="solid">
        <fgColor theme="4" tint="0.7999816888943144"/>
        <bgColor indexed="64"/>
      </patternFill>
    </fill>
    <fill>
      <patternFill patternType="solid">
        <fgColor theme="7"/>
        <bgColor theme="7"/>
      </patternFill>
    </fill>
    <fill>
      <patternFill patternType="solid">
        <fgColor rgb="FFFFE598"/>
        <bgColor rgb="FFFFE598"/>
      </patternFill>
    </fill>
    <fill>
      <patternFill patternType="solid">
        <fgColor theme="9"/>
        <bgColor theme="9"/>
      </patternFill>
    </fill>
    <fill>
      <patternFill patternType="solid">
        <fgColor rgb="FFD9E2F3"/>
        <bgColor rgb="FFD9E2F3"/>
      </patternFill>
    </fill>
    <fill>
      <patternFill patternType="solid">
        <fgColor rgb="FFFF9999"/>
        <bgColor rgb="FFFF9999"/>
      </patternFill>
    </fill>
    <fill>
      <patternFill patternType="solid">
        <fgColor rgb="FFA8D08D"/>
        <bgColor rgb="FFA8D08D"/>
      </patternFill>
    </fill>
    <fill>
      <patternFill patternType="solid">
        <fgColor rgb="FFF4B083"/>
        <bgColor rgb="FFF4B083"/>
      </patternFill>
    </fill>
    <fill>
      <patternFill patternType="solid">
        <fgColor rgb="FFFFFF00"/>
        <bgColor rgb="FFFFFF00"/>
      </patternFill>
    </fill>
    <fill>
      <patternFill patternType="solid">
        <fgColor rgb="FFF7CAAC"/>
        <bgColor rgb="FFF7CAAC"/>
      </patternFill>
    </fill>
    <fill>
      <patternFill patternType="solid">
        <fgColor rgb="FFE2EFD9"/>
        <bgColor rgb="FFE2EFD9"/>
      </patternFill>
    </fill>
    <fill>
      <patternFill patternType="solid">
        <fgColor theme="0"/>
        <bgColor theme="0"/>
      </patternFill>
    </fill>
    <fill>
      <patternFill patternType="solid">
        <fgColor rgb="FFF2F2F2"/>
        <bgColor rgb="FFF2F2F2"/>
      </patternFill>
    </fill>
    <fill>
      <patternFill patternType="solid">
        <fgColor theme="6" tint="0.5999938962981048"/>
        <bgColor rgb="FFFFFF00"/>
      </patternFill>
    </fill>
    <fill>
      <patternFill patternType="solid">
        <fgColor rgb="FFB4C6E7"/>
        <bgColor rgb="FFB4C6E7"/>
      </patternFill>
    </fill>
    <fill>
      <patternFill patternType="solid">
        <fgColor rgb="FFFEF2CB"/>
        <bgColor rgb="FFFEF2CB"/>
      </patternFill>
    </fill>
    <fill>
      <patternFill patternType="solid">
        <fgColor rgb="FFFBE4D5"/>
        <bgColor rgb="FFFBE4D5"/>
      </patternFill>
    </fill>
    <fill>
      <patternFill patternType="solid">
        <fgColor rgb="FFECECEC"/>
        <bgColor rgb="FFECECEC"/>
      </patternFill>
    </fill>
    <fill>
      <patternFill patternType="solid">
        <fgColor theme="9"/>
        <bgColor indexed="64"/>
      </patternFill>
    </fill>
    <fill>
      <patternFill patternType="solid">
        <fgColor theme="5"/>
        <bgColor indexed="64"/>
      </patternFill>
    </fill>
  </fills>
  <borders count="78">
    <border>
      <left/>
      <right/>
      <top/>
      <bottom/>
      <diagonal/>
    </border>
    <border>
      <left style="thin">
        <color indexed="64"/>
      </left>
      <right style="thin">
        <color indexed="64"/>
      </right>
      <top style="thin">
        <color indexed="64"/>
      </top>
      <bottom style="thin">
        <color indexed="64"/>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diagonal/>
    </border>
    <border>
      <left style="medium">
        <color rgb="FF000000"/>
      </left>
      <right/>
      <top/>
      <bottom/>
      <diagonal/>
    </border>
    <border>
      <left/>
      <right style="medium">
        <color rgb="FF000000"/>
      </right>
      <top style="medium">
        <color rgb="FF000000"/>
      </top>
      <bottom/>
      <diagonal/>
    </border>
    <border>
      <left style="medium">
        <color rgb="FF000000"/>
      </left>
      <right/>
      <top style="medium">
        <color rgb="FF000000"/>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right/>
      <top/>
      <bottom style="medium">
        <color indexed="64"/>
      </bottom>
      <diagonal/>
    </border>
    <border>
      <left/>
      <right/>
      <top style="medium">
        <color theme="4"/>
      </top>
      <bottom style="medium">
        <color theme="4"/>
      </bottom>
      <diagonal/>
    </border>
    <border>
      <left style="thin">
        <color theme="1"/>
      </left>
      <right style="thin">
        <color theme="1"/>
      </right>
      <top style="thin">
        <color theme="1"/>
      </top>
      <bottom style="thin">
        <color theme="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339966"/>
      </left>
      <right/>
      <top style="medium">
        <color rgb="FF339966"/>
      </top>
      <bottom style="medium">
        <color rgb="FF339966"/>
      </bottom>
      <diagonal/>
    </border>
    <border>
      <left/>
      <right/>
      <top style="medium">
        <color rgb="FF339966"/>
      </top>
      <bottom style="medium">
        <color rgb="FF339966"/>
      </bottom>
      <diagonal/>
    </border>
    <border>
      <left/>
      <right style="medium">
        <color rgb="FF339966"/>
      </right>
      <top style="medium">
        <color rgb="FF339966"/>
      </top>
      <bottom style="medium">
        <color rgb="FF339966"/>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339966"/>
      </left>
      <right style="medium">
        <color rgb="FF339966"/>
      </right>
      <top style="medium">
        <color rgb="FF339966"/>
      </top>
      <bottom style="medium">
        <color rgb="FF339966"/>
      </bottom>
      <diagonal/>
    </border>
    <border>
      <left/>
      <right/>
      <top style="medium">
        <color rgb="FF339966"/>
      </top>
      <bottom/>
      <diagonal/>
    </border>
    <border>
      <left/>
      <right style="medium">
        <color rgb="FF339966"/>
      </right>
      <top style="medium">
        <color rgb="FF339966"/>
      </top>
      <bottom/>
      <diagonal/>
    </border>
  </borders>
  <cellStyleXfs count="9">
    <xf numFmtId="0" fontId="0" fillId="0" borderId="0"/>
    <xf numFmtId="0" fontId="1" fillId="0" borderId="0"/>
    <xf numFmtId="0" fontId="2" fillId="0" borderId="0"/>
    <xf numFmtId="0" fontId="1" fillId="0" borderId="0"/>
    <xf numFmtId="9" fontId="1" fillId="0" borderId="0"/>
    <xf numFmtId="0" fontId="3" fillId="0" borderId="0"/>
    <xf numFmtId="0" fontId="4" fillId="0" borderId="0"/>
    <xf numFmtId="0" fontId="5" fillId="0" borderId="0"/>
    <xf numFmtId="0" fontId="6" fillId="0" borderId="0"/>
  </cellStyleXfs>
  <cellXfs count="344">
    <xf numFmtId="0" fontId="0" fillId="0" borderId="0" pivotButton="0" quotePrefix="0" xfId="0"/>
    <xf numFmtId="0" fontId="7" fillId="0" borderId="0" pivotButton="0" quotePrefix="0" xfId="1"/>
    <xf numFmtId="0" fontId="7" fillId="0" borderId="1" pivotButton="0" quotePrefix="0" xfId="1"/>
    <xf numFmtId="0" fontId="7" fillId="10" borderId="1" pivotButton="0" quotePrefix="0" xfId="1"/>
    <xf numFmtId="0" fontId="8" fillId="20" borderId="1" applyAlignment="1" pivotButton="0" quotePrefix="0" xfId="1">
      <alignment horizontal="left"/>
    </xf>
    <xf numFmtId="0" fontId="8" fillId="19" borderId="1" pivotButton="0" quotePrefix="0" xfId="1"/>
    <xf numFmtId="0" fontId="8" fillId="19" borderId="1" applyAlignment="1" pivotButton="0" quotePrefix="0" xfId="1">
      <alignment horizontal="right"/>
    </xf>
    <xf numFmtId="164" fontId="7" fillId="0" borderId="1" pivotButton="0" quotePrefix="0" xfId="1"/>
    <xf numFmtId="165" fontId="7" fillId="0" borderId="1" pivotButton="0" quotePrefix="0" xfId="1"/>
    <xf numFmtId="166" fontId="7" fillId="0" borderId="1" applyAlignment="1" pivotButton="0" quotePrefix="0" xfId="4">
      <alignment horizontal="center"/>
    </xf>
    <xf numFmtId="0" fontId="7" fillId="0" borderId="1" applyAlignment="1" pivotButton="0" quotePrefix="0" xfId="1">
      <alignment horizontal="center"/>
    </xf>
    <xf numFmtId="0" fontId="9" fillId="2" borderId="0" pivotButton="0" quotePrefix="0" xfId="2"/>
    <xf numFmtId="0" fontId="10" fillId="2" borderId="0" pivotButton="0" quotePrefix="0" xfId="1"/>
    <xf numFmtId="0" fontId="7" fillId="2" borderId="0" pivotButton="0" quotePrefix="0" xfId="1"/>
    <xf numFmtId="0" fontId="11" fillId="2" borderId="0" pivotButton="0" quotePrefix="0" xfId="1"/>
    <xf numFmtId="0" fontId="12" fillId="2" borderId="0" applyAlignment="1" pivotButton="0" quotePrefix="0" xfId="1">
      <alignment horizontal="right"/>
    </xf>
    <xf numFmtId="0" fontId="13" fillId="2" borderId="0" pivotButton="0" quotePrefix="0" xfId="1"/>
    <xf numFmtId="0" fontId="17" fillId="0" borderId="0" pivotButton="0" quotePrefix="0" xfId="1"/>
    <xf numFmtId="0" fontId="16" fillId="0" borderId="0" pivotButton="0" quotePrefix="0" xfId="1"/>
    <xf numFmtId="0" fontId="16" fillId="0" borderId="0" applyAlignment="1" pivotButton="0" quotePrefix="0" xfId="1">
      <alignment horizontal="center"/>
    </xf>
    <xf numFmtId="0" fontId="19" fillId="0" borderId="0" pivotButton="0" quotePrefix="0" xfId="1"/>
    <xf numFmtId="0" fontId="27" fillId="2" borderId="0" applyAlignment="1" pivotButton="0" quotePrefix="0" xfId="1">
      <alignment horizontal="center"/>
    </xf>
    <xf numFmtId="0" fontId="17" fillId="0" borderId="0" applyAlignment="1" pivotButton="0" quotePrefix="0" xfId="1">
      <alignment vertical="center" wrapText="1"/>
    </xf>
    <xf numFmtId="0" fontId="29" fillId="0" borderId="0" pivotButton="0" quotePrefix="0" xfId="1"/>
    <xf numFmtId="0" fontId="28" fillId="0" borderId="0" applyAlignment="1" pivotButton="0" quotePrefix="0" xfId="1">
      <alignment vertical="center" wrapText="1"/>
    </xf>
    <xf numFmtId="0" fontId="16" fillId="7" borderId="1" applyAlignment="1" pivotButton="0" quotePrefix="0" xfId="1">
      <alignment horizontal="center" vertical="center" wrapText="1"/>
    </xf>
    <xf numFmtId="0" fontId="25" fillId="0" borderId="1" applyAlignment="1" pivotButton="0" quotePrefix="0" xfId="1">
      <alignment vertical="center" wrapText="1"/>
    </xf>
    <xf numFmtId="0" fontId="28" fillId="0" borderId="1" applyAlignment="1" pivotButton="0" quotePrefix="0" xfId="1">
      <alignment vertical="center" wrapText="1"/>
    </xf>
    <xf numFmtId="0" fontId="17" fillId="0" borderId="1" applyAlignment="1" pivotButton="0" quotePrefix="0" xfId="1">
      <alignment vertical="center" wrapText="1"/>
    </xf>
    <xf numFmtId="0" fontId="25" fillId="0" borderId="0" pivotButton="0" quotePrefix="0" xfId="1"/>
    <xf numFmtId="0" fontId="25" fillId="6" borderId="1" pivotButton="0" quotePrefix="0" xfId="1"/>
    <xf numFmtId="0" fontId="30" fillId="5" borderId="0" pivotButton="0" quotePrefix="0" xfId="1"/>
    <xf numFmtId="0" fontId="17" fillId="5" borderId="0" pivotButton="0" quotePrefix="0" xfId="1"/>
    <xf numFmtId="0" fontId="17" fillId="0" borderId="1" pivotButton="0" quotePrefix="0" xfId="1"/>
    <xf numFmtId="0" fontId="30" fillId="4" borderId="7" pivotButton="0" quotePrefix="0" xfId="1"/>
    <xf numFmtId="0" fontId="30" fillId="4" borderId="6" pivotButton="0" quotePrefix="0" xfId="1"/>
    <xf numFmtId="0" fontId="17" fillId="3" borderId="1" pivotButton="0" quotePrefix="0" xfId="1"/>
    <xf numFmtId="0" fontId="30" fillId="4" borderId="5" pivotButton="0" quotePrefix="0" xfId="1"/>
    <xf numFmtId="0" fontId="30" fillId="4" borderId="4" pivotButton="0" quotePrefix="0" xfId="1"/>
    <xf numFmtId="0" fontId="30" fillId="4" borderId="3" pivotButton="0" quotePrefix="0" xfId="1"/>
    <xf numFmtId="0" fontId="30" fillId="4" borderId="2" pivotButton="0" quotePrefix="0" xfId="1"/>
    <xf numFmtId="0" fontId="15" fillId="0" borderId="0" pivotButton="0" quotePrefix="0" xfId="1"/>
    <xf numFmtId="0" fontId="14" fillId="0" borderId="0" pivotButton="0" quotePrefix="0" xfId="1"/>
    <xf numFmtId="0" fontId="14" fillId="17" borderId="0" pivotButton="0" quotePrefix="0" xfId="1"/>
    <xf numFmtId="0" fontId="8" fillId="16" borderId="19" pivotButton="0" quotePrefix="0" xfId="1"/>
    <xf numFmtId="0" fontId="7" fillId="0" borderId="19" pivotButton="0" quotePrefix="0" xfId="1"/>
    <xf numFmtId="14" fontId="7" fillId="0" borderId="19" pivotButton="0" quotePrefix="0" xfId="1"/>
    <xf numFmtId="0" fontId="7" fillId="0" borderId="19" applyAlignment="1" pivotButton="0" quotePrefix="0" xfId="1">
      <alignment vertical="center"/>
    </xf>
    <xf numFmtId="0" fontId="32" fillId="22" borderId="20" pivotButton="0" quotePrefix="0" xfId="1"/>
    <xf numFmtId="0" fontId="32" fillId="22" borderId="21" pivotButton="0" quotePrefix="0" xfId="1"/>
    <xf numFmtId="0" fontId="8" fillId="0" borderId="0" pivotButton="0" quotePrefix="0" xfId="1"/>
    <xf numFmtId="0" fontId="7" fillId="23" borderId="22" pivotButton="0" quotePrefix="0" xfId="1"/>
    <xf numFmtId="0" fontId="7" fillId="0" borderId="23" pivotButton="0" quotePrefix="0" xfId="1"/>
    <xf numFmtId="0" fontId="7" fillId="12" borderId="1" pivotButton="0" quotePrefix="0" xfId="1"/>
    <xf numFmtId="0" fontId="7" fillId="0" borderId="24" applyAlignment="1" pivotButton="0" quotePrefix="0" xfId="1">
      <alignment wrapText="1"/>
    </xf>
    <xf numFmtId="14" fontId="7" fillId="0" borderId="1" pivotButton="0" quotePrefix="0" xfId="1"/>
    <xf numFmtId="0" fontId="7" fillId="0" borderId="25" pivotButton="0" quotePrefix="0" xfId="1"/>
    <xf numFmtId="0" fontId="7" fillId="0" borderId="26" applyAlignment="1" pivotButton="0" quotePrefix="0" xfId="1">
      <alignment wrapText="1"/>
    </xf>
    <xf numFmtId="0" fontId="7" fillId="0" borderId="27" pivotButton="0" quotePrefix="0" xfId="1"/>
    <xf numFmtId="0" fontId="7" fillId="0" borderId="28" applyAlignment="1" pivotButton="0" quotePrefix="0" xfId="1">
      <alignment wrapText="1"/>
    </xf>
    <xf numFmtId="0" fontId="7" fillId="17" borderId="0" pivotButton="0" quotePrefix="0" xfId="1"/>
    <xf numFmtId="0" fontId="8" fillId="0" borderId="0" applyAlignment="1" pivotButton="0" quotePrefix="0" xfId="1">
      <alignment horizontal="center" vertical="center" wrapText="1"/>
    </xf>
    <xf numFmtId="0" fontId="10" fillId="2" borderId="15" pivotButton="0" quotePrefix="0" xfId="0"/>
    <xf numFmtId="0" fontId="33" fillId="0" borderId="55" applyAlignment="1" pivotButton="0" quotePrefix="0" xfId="0">
      <alignment vertical="center" wrapText="1"/>
    </xf>
    <xf numFmtId="0" fontId="11" fillId="2" borderId="55" pivotButton="0" quotePrefix="0" xfId="0"/>
    <xf numFmtId="0" fontId="36" fillId="7" borderId="1" applyAlignment="1" pivotButton="0" quotePrefix="0" xfId="1">
      <alignment horizontal="center"/>
    </xf>
    <xf numFmtId="0" fontId="33" fillId="0" borderId="56" applyAlignment="1" pivotButton="0" quotePrefix="0" xfId="0">
      <alignment vertical="center" wrapText="1"/>
    </xf>
    <xf numFmtId="0" fontId="7" fillId="3" borderId="1" applyAlignment="1" pivotButton="0" quotePrefix="1" xfId="1">
      <alignment horizontal="center"/>
    </xf>
    <xf numFmtId="0" fontId="7" fillId="0" borderId="0" pivotButton="0" quotePrefix="0" xfId="5"/>
    <xf numFmtId="0" fontId="7" fillId="25" borderId="0" pivotButton="0" quotePrefix="0" xfId="5"/>
    <xf numFmtId="2" fontId="7" fillId="0" borderId="0" pivotButton="0" quotePrefix="0" xfId="5"/>
    <xf numFmtId="14" fontId="7" fillId="0" borderId="0" pivotButton="0" quotePrefix="0" xfId="5"/>
    <xf numFmtId="0" fontId="7" fillId="27" borderId="1" pivotButton="0" quotePrefix="0" xfId="5"/>
    <xf numFmtId="0" fontId="7" fillId="28" borderId="1" pivotButton="0" quotePrefix="0" xfId="5"/>
    <xf numFmtId="0" fontId="7" fillId="29" borderId="35" pivotButton="0" quotePrefix="0" xfId="5"/>
    <xf numFmtId="0" fontId="7" fillId="27" borderId="35" pivotButton="0" quotePrefix="0" xfId="5"/>
    <xf numFmtId="0" fontId="7" fillId="28" borderId="35" pivotButton="0" quotePrefix="0" xfId="5"/>
    <xf numFmtId="14" fontId="7" fillId="30" borderId="35" pivotButton="0" quotePrefix="0" xfId="5"/>
    <xf numFmtId="14" fontId="7" fillId="0" borderId="1" pivotButton="0" quotePrefix="0" xfId="5"/>
    <xf numFmtId="1" fontId="7" fillId="0" borderId="1" pivotButton="0" quotePrefix="0" xfId="5"/>
    <xf numFmtId="0" fontId="7" fillId="0" borderId="1" pivotButton="0" quotePrefix="0" xfId="5"/>
    <xf numFmtId="0" fontId="7" fillId="31" borderId="1" pivotButton="0" quotePrefix="0" xfId="5"/>
    <xf numFmtId="2" fontId="7" fillId="0" borderId="1" pivotButton="0" quotePrefix="0" xfId="5"/>
    <xf numFmtId="49" fontId="7" fillId="0" borderId="1" pivotButton="0" quotePrefix="0" xfId="5"/>
    <xf numFmtId="0" fontId="8" fillId="0" borderId="0" pivotButton="0" quotePrefix="0" xfId="5"/>
    <xf numFmtId="0" fontId="39" fillId="26" borderId="0" pivotButton="0" quotePrefix="0" xfId="5"/>
    <xf numFmtId="0" fontId="7" fillId="26" borderId="0" pivotButton="0" quotePrefix="0" xfId="5"/>
    <xf numFmtId="0" fontId="40" fillId="27" borderId="36" pivotButton="0" quotePrefix="0" xfId="5"/>
    <xf numFmtId="0" fontId="7" fillId="28" borderId="36" pivotButton="0" quotePrefix="0" xfId="5"/>
    <xf numFmtId="0" fontId="7" fillId="32" borderId="36" pivotButton="0" quotePrefix="0" xfId="5"/>
    <xf numFmtId="0" fontId="7" fillId="33" borderId="36" pivotButton="0" quotePrefix="0" xfId="5"/>
    <xf numFmtId="14" fontId="7" fillId="0" borderId="36" pivotButton="0" quotePrefix="0" xfId="5"/>
    <xf numFmtId="0" fontId="7" fillId="31" borderId="36" pivotButton="0" quotePrefix="0" xfId="5"/>
    <xf numFmtId="0" fontId="8" fillId="26" borderId="0" pivotButton="0" quotePrefix="0" xfId="5"/>
    <xf numFmtId="0" fontId="7" fillId="25" borderId="36" pivotButton="0" quotePrefix="0" xfId="5"/>
    <xf numFmtId="0" fontId="7" fillId="27" borderId="37" pivotButton="0" quotePrefix="0" xfId="5"/>
    <xf numFmtId="0" fontId="7" fillId="27" borderId="38" pivotButton="0" quotePrefix="0" xfId="5"/>
    <xf numFmtId="0" fontId="7" fillId="28" borderId="39" pivotButton="0" quotePrefix="0" xfId="5"/>
    <xf numFmtId="0" fontId="7" fillId="28" borderId="38" pivotButton="0" quotePrefix="0" xfId="5"/>
    <xf numFmtId="14" fontId="7" fillId="31" borderId="36" pivotButton="0" quotePrefix="0" xfId="5"/>
    <xf numFmtId="14" fontId="8" fillId="31" borderId="36" pivotButton="0" quotePrefix="0" xfId="5"/>
    <xf numFmtId="0" fontId="7" fillId="27" borderId="36" pivotButton="0" quotePrefix="0" xfId="5"/>
    <xf numFmtId="22" fontId="7" fillId="31" borderId="36" pivotButton="0" quotePrefix="0" xfId="5"/>
    <xf numFmtId="0" fontId="41" fillId="26" borderId="0" pivotButton="0" quotePrefix="0" xfId="5"/>
    <xf numFmtId="167" fontId="7" fillId="0" borderId="35" pivotButton="0" quotePrefix="0" xfId="5"/>
    <xf numFmtId="167" fontId="7" fillId="0" borderId="0" pivotButton="0" quotePrefix="0" xfId="5"/>
    <xf numFmtId="22" fontId="7" fillId="0" borderId="1" pivotButton="0" quotePrefix="0" xfId="5"/>
    <xf numFmtId="0" fontId="7" fillId="31" borderId="38" pivotButton="0" quotePrefix="0" xfId="5"/>
    <xf numFmtId="22" fontId="7" fillId="0" borderId="0" pivotButton="0" quotePrefix="0" xfId="5"/>
    <xf numFmtId="18" fontId="7" fillId="0" borderId="36" pivotButton="0" quotePrefix="0" xfId="5"/>
    <xf numFmtId="0" fontId="40" fillId="27" borderId="40" pivotButton="0" quotePrefix="0" xfId="5"/>
    <xf numFmtId="0" fontId="7" fillId="28" borderId="41" pivotButton="0" quotePrefix="0" xfId="5"/>
    <xf numFmtId="0" fontId="7" fillId="28" borderId="42" pivotButton="0" quotePrefix="0" xfId="5"/>
    <xf numFmtId="0" fontId="7" fillId="28" borderId="43" pivotButton="0" quotePrefix="0" xfId="5"/>
    <xf numFmtId="18" fontId="7" fillId="31" borderId="36" pivotButton="0" quotePrefix="0" xfId="5"/>
    <xf numFmtId="18" fontId="7" fillId="31" borderId="38" pivotButton="0" quotePrefix="0" xfId="5"/>
    <xf numFmtId="0" fontId="9" fillId="34" borderId="44" pivotButton="0" quotePrefix="0" xfId="5"/>
    <xf numFmtId="0" fontId="40" fillId="35" borderId="0" pivotButton="0" quotePrefix="0" xfId="5"/>
    <xf numFmtId="14" fontId="7" fillId="27" borderId="37" pivotButton="0" quotePrefix="0" xfId="5"/>
    <xf numFmtId="0" fontId="7" fillId="28" borderId="45" pivotButton="0" quotePrefix="0" xfId="5"/>
    <xf numFmtId="14" fontId="7" fillId="27" borderId="40" pivotButton="0" quotePrefix="0" xfId="5"/>
    <xf numFmtId="0" fontId="7" fillId="31" borderId="40" pivotButton="0" quotePrefix="0" xfId="5"/>
    <xf numFmtId="14" fontId="7" fillId="27" borderId="46" pivotButton="0" quotePrefix="0" xfId="5"/>
    <xf numFmtId="14" fontId="7" fillId="36" borderId="15" pivotButton="0" quotePrefix="0" xfId="5"/>
    <xf numFmtId="14" fontId="7" fillId="27" borderId="1" pivotButton="0" quotePrefix="0" xfId="5"/>
    <xf numFmtId="14" fontId="7" fillId="36" borderId="1" pivotButton="0" quotePrefix="0" xfId="5"/>
    <xf numFmtId="0" fontId="7" fillId="32" borderId="1" pivotButton="0" quotePrefix="0" xfId="5"/>
    <xf numFmtId="0" fontId="7" fillId="37" borderId="1" pivotButton="0" quotePrefix="0" xfId="5"/>
    <xf numFmtId="0" fontId="7" fillId="38" borderId="1" pivotButton="0" quotePrefix="0" xfId="5"/>
    <xf numFmtId="0" fontId="40" fillId="39" borderId="1" pivotButton="0" quotePrefix="0" xfId="5"/>
    <xf numFmtId="0" fontId="7" fillId="39" borderId="9" pivotButton="0" quotePrefix="0" xfId="5"/>
    <xf numFmtId="0" fontId="7" fillId="33" borderId="1" pivotButton="0" quotePrefix="0" xfId="5"/>
    <xf numFmtId="14" fontId="7" fillId="25" borderId="1" pivotButton="0" quotePrefix="0" xfId="5"/>
    <xf numFmtId="0" fontId="7" fillId="31" borderId="9" pivotButton="0" quotePrefix="0" xfId="5"/>
    <xf numFmtId="14" fontId="7" fillId="33" borderId="1" pivotButton="0" quotePrefix="0" xfId="5"/>
    <xf numFmtId="0" fontId="9" fillId="0" borderId="0" pivotButton="0" quotePrefix="0" xfId="5"/>
    <xf numFmtId="0" fontId="7" fillId="39" borderId="1" pivotButton="0" quotePrefix="0" xfId="5"/>
    <xf numFmtId="0" fontId="42" fillId="0" borderId="0" pivotButton="0" quotePrefix="0" xfId="5"/>
    <xf numFmtId="14" fontId="7" fillId="40" borderId="37" pivotButton="0" quotePrefix="0" xfId="5"/>
    <xf numFmtId="14" fontId="7" fillId="31" borderId="1" pivotButton="0" quotePrefix="0" xfId="5"/>
    <xf numFmtId="0" fontId="7" fillId="40" borderId="36" pivotButton="0" quotePrefix="0" xfId="5"/>
    <xf numFmtId="0" fontId="7" fillId="0" borderId="0" pivotButton="0" quotePrefix="1" xfId="5"/>
    <xf numFmtId="0" fontId="7" fillId="0" borderId="0" applyAlignment="1" pivotButton="0" quotePrefix="1" xfId="5">
      <alignment wrapText="1"/>
    </xf>
    <xf numFmtId="0" fontId="7" fillId="0" borderId="0" pivotButton="0" quotePrefix="0" xfId="0"/>
    <xf numFmtId="0" fontId="7" fillId="20" borderId="0" pivotButton="0" quotePrefix="0" xfId="0"/>
    <xf numFmtId="0" fontId="8" fillId="41" borderId="0" pivotButton="0" quotePrefix="0" xfId="0"/>
    <xf numFmtId="0" fontId="8" fillId="42" borderId="0" pivotButton="0" quotePrefix="0" xfId="0"/>
    <xf numFmtId="14" fontId="7" fillId="0" borderId="0" pivotButton="0" quotePrefix="0" xfId="0"/>
    <xf numFmtId="0" fontId="7" fillId="3" borderId="0" pivotButton="0" quotePrefix="0" xfId="0"/>
    <xf numFmtId="14" fontId="7" fillId="12" borderId="0" pivotButton="0" quotePrefix="0" xfId="0"/>
    <xf numFmtId="0" fontId="44" fillId="0" borderId="0" applyAlignment="1" pivotButton="0" quotePrefix="0" xfId="1">
      <alignment horizontal="center" wrapText="1"/>
    </xf>
    <xf numFmtId="0" fontId="9" fillId="0" borderId="0" pivotButton="0" quotePrefix="0" xfId="2"/>
    <xf numFmtId="0" fontId="44" fillId="0" borderId="0" pivotButton="0" quotePrefix="0" xfId="1"/>
    <xf numFmtId="0" fontId="44" fillId="0" borderId="0" pivotButton="0" quotePrefix="1" xfId="1"/>
    <xf numFmtId="0" fontId="47" fillId="0" borderId="0" applyAlignment="1" pivotButton="0" quotePrefix="0" xfId="3">
      <alignment horizontal="center"/>
    </xf>
    <xf numFmtId="0" fontId="47" fillId="0" borderId="0" applyAlignment="1" pivotButton="0" quotePrefix="0" xfId="1">
      <alignment horizontal="right"/>
    </xf>
    <xf numFmtId="0" fontId="44" fillId="0" borderId="0" applyAlignment="1" pivotButton="0" quotePrefix="0" xfId="1">
      <alignment horizontal="right"/>
    </xf>
    <xf numFmtId="0" fontId="44" fillId="0" borderId="0" applyAlignment="1" pivotButton="0" quotePrefix="0" xfId="1">
      <alignment horizontal="center"/>
    </xf>
    <xf numFmtId="0" fontId="46" fillId="8" borderId="1" applyAlignment="1" pivotButton="0" quotePrefix="0" xfId="1">
      <alignment horizontal="center"/>
    </xf>
    <xf numFmtId="14" fontId="44" fillId="0" borderId="1" pivotButton="0" quotePrefix="0" xfId="1"/>
    <xf numFmtId="0" fontId="49" fillId="0" borderId="0" pivotButton="0" quotePrefix="0" xfId="1"/>
    <xf numFmtId="0" fontId="44" fillId="0" borderId="1" applyAlignment="1" pivotButton="0" quotePrefix="0" xfId="1">
      <alignment horizontal="center"/>
    </xf>
    <xf numFmtId="0" fontId="44" fillId="3" borderId="1" applyAlignment="1" pivotButton="0" quotePrefix="0" xfId="1">
      <alignment horizontal="center"/>
    </xf>
    <xf numFmtId="0" fontId="44" fillId="0" borderId="1" pivotButton="0" quotePrefix="0" xfId="1"/>
    <xf numFmtId="0" fontId="46" fillId="0" borderId="1" applyAlignment="1" pivotButton="0" quotePrefix="0" xfId="1">
      <alignment horizontal="center"/>
    </xf>
    <xf numFmtId="0" fontId="7" fillId="0" borderId="0" applyAlignment="1" pivotButton="0" quotePrefix="0" xfId="1">
      <alignment horizontal="right"/>
    </xf>
    <xf numFmtId="0" fontId="7" fillId="3" borderId="1" pivotButton="0" quotePrefix="0" xfId="1"/>
    <xf numFmtId="0" fontId="50" fillId="0" borderId="0" applyAlignment="1" pivotButton="0" quotePrefix="0" xfId="1">
      <alignment horizontal="center" vertical="center"/>
    </xf>
    <xf numFmtId="0" fontId="50" fillId="0" borderId="18" applyAlignment="1" pivotButton="0" quotePrefix="0" xfId="1">
      <alignment horizontal="center" vertical="center"/>
    </xf>
    <xf numFmtId="0" fontId="50" fillId="0" borderId="18" applyAlignment="1" pivotButton="0" quotePrefix="0" xfId="1">
      <alignment horizontal="right" vertical="center" indent="2"/>
    </xf>
    <xf numFmtId="3" fontId="51" fillId="3" borderId="0" applyAlignment="1" pivotButton="0" quotePrefix="0" xfId="1">
      <alignment horizontal="center"/>
    </xf>
    <xf numFmtId="49" fontId="51" fillId="2" borderId="0" applyAlignment="1" pivotButton="0" quotePrefix="0" xfId="1">
      <alignment horizontal="center"/>
    </xf>
    <xf numFmtId="3" fontId="51" fillId="2" borderId="0" applyAlignment="1" pivotButton="0" quotePrefix="0" xfId="1">
      <alignment horizontal="right" indent="2"/>
    </xf>
    <xf numFmtId="3" fontId="51" fillId="3" borderId="0" applyAlignment="1" pivotButton="0" quotePrefix="0" xfId="1">
      <alignment horizontal="right" indent="2"/>
    </xf>
    <xf numFmtId="3" fontId="7" fillId="0" borderId="0" pivotButton="0" quotePrefix="0" xfId="1"/>
    <xf numFmtId="49" fontId="36" fillId="2" borderId="0" applyAlignment="1" pivotButton="0" quotePrefix="0" xfId="1">
      <alignment horizontal="left"/>
    </xf>
    <xf numFmtId="0" fontId="8" fillId="0" borderId="17" pivotButton="0" quotePrefix="0" xfId="1"/>
    <xf numFmtId="0" fontId="8" fillId="0" borderId="17" applyAlignment="1" pivotButton="0" quotePrefix="0" xfId="1">
      <alignment wrapText="1"/>
    </xf>
    <xf numFmtId="0" fontId="7" fillId="12" borderId="0" applyAlignment="1" pivotButton="0" quotePrefix="0" xfId="1">
      <alignment horizontal="center"/>
    </xf>
    <xf numFmtId="0" fontId="7" fillId="3" borderId="0" applyAlignment="1" pivotButton="0" quotePrefix="0" xfId="1">
      <alignment horizontal="center"/>
    </xf>
    <xf numFmtId="0" fontId="8" fillId="10" borderId="0" pivotButton="0" quotePrefix="0" xfId="1"/>
    <xf numFmtId="0" fontId="8" fillId="10" borderId="0" applyAlignment="1" pivotButton="0" quotePrefix="0" xfId="1">
      <alignment horizontal="center"/>
    </xf>
    <xf numFmtId="0" fontId="52" fillId="11" borderId="11" applyAlignment="1" pivotButton="0" quotePrefix="0" xfId="1">
      <alignment vertical="center"/>
    </xf>
    <xf numFmtId="0" fontId="52" fillId="11" borderId="15" applyAlignment="1" pivotButton="0" quotePrefix="0" xfId="1">
      <alignment vertical="center"/>
    </xf>
    <xf numFmtId="0" fontId="52" fillId="11" borderId="15" applyAlignment="1" pivotButton="0" quotePrefix="0" xfId="1">
      <alignment horizontal="center" vertical="center"/>
    </xf>
    <xf numFmtId="0" fontId="52" fillId="9" borderId="14" applyAlignment="1" pivotButton="0" quotePrefix="0" xfId="1">
      <alignment horizontal="left" vertical="center"/>
    </xf>
    <xf numFmtId="0" fontId="7" fillId="0" borderId="0" applyAlignment="1" pivotButton="0" quotePrefix="0" xfId="1">
      <alignment vertical="center"/>
    </xf>
    <xf numFmtId="0" fontId="7" fillId="0" borderId="11" applyAlignment="1" pivotButton="0" quotePrefix="0" xfId="1">
      <alignment horizontal="center" vertical="center"/>
    </xf>
    <xf numFmtId="0" fontId="7" fillId="0" borderId="11" applyAlignment="1" pivotButton="0" quotePrefix="0" xfId="1">
      <alignment vertical="center"/>
    </xf>
    <xf numFmtId="0" fontId="7" fillId="0" borderId="1" applyAlignment="1" pivotButton="0" quotePrefix="0" xfId="1">
      <alignment vertical="center"/>
    </xf>
    <xf numFmtId="0" fontId="7" fillId="0" borderId="1" applyAlignment="1" pivotButton="0" quotePrefix="0" xfId="1">
      <alignment horizontal="center" vertical="center"/>
    </xf>
    <xf numFmtId="0" fontId="7" fillId="3" borderId="1" applyAlignment="1" pivotButton="0" quotePrefix="0" xfId="1">
      <alignment horizontal="center"/>
    </xf>
    <xf numFmtId="0" fontId="7" fillId="0" borderId="13" applyAlignment="1" pivotButton="0" quotePrefix="0" xfId="1">
      <alignment horizontal="left" vertical="center"/>
    </xf>
    <xf numFmtId="0" fontId="7" fillId="0" borderId="12" applyAlignment="1" pivotButton="0" quotePrefix="0" xfId="1">
      <alignment horizontal="left" vertical="center"/>
    </xf>
    <xf numFmtId="0" fontId="7" fillId="0" borderId="0" applyAlignment="1" pivotButton="0" quotePrefix="0" xfId="1">
      <alignment horizontal="left" vertical="center"/>
    </xf>
    <xf numFmtId="0" fontId="7" fillId="0" borderId="9" applyAlignment="1" pivotButton="0" quotePrefix="0" xfId="1">
      <alignment horizontal="center" vertical="center"/>
    </xf>
    <xf numFmtId="0" fontId="7" fillId="0" borderId="9" applyAlignment="1" pivotButton="0" quotePrefix="0" xfId="1">
      <alignment vertical="center"/>
    </xf>
    <xf numFmtId="0" fontId="32" fillId="15" borderId="1" applyAlignment="1" pivotButton="0" quotePrefix="0" xfId="1">
      <alignment horizontal="center"/>
    </xf>
    <xf numFmtId="0" fontId="39" fillId="14" borderId="1" applyAlignment="1" pivotButton="0" quotePrefix="0" xfId="1">
      <alignment horizontal="center"/>
    </xf>
    <xf numFmtId="0" fontId="52" fillId="13" borderId="1" pivotButton="0" quotePrefix="0" xfId="1"/>
    <xf numFmtId="0" fontId="52" fillId="13" borderId="1" applyAlignment="1" pivotButton="0" quotePrefix="0" xfId="1">
      <alignment horizontal="center"/>
    </xf>
    <xf numFmtId="9" fontId="7" fillId="0" borderId="1" applyAlignment="1" pivotButton="0" quotePrefix="0" xfId="1">
      <alignment horizontal="center"/>
    </xf>
    <xf numFmtId="0" fontId="52" fillId="13" borderId="15" applyAlignment="1" pivotButton="0" quotePrefix="0" xfId="1">
      <alignment horizontal="center"/>
    </xf>
    <xf numFmtId="0" fontId="8" fillId="0" borderId="1" pivotButton="0" quotePrefix="0" xfId="5"/>
    <xf numFmtId="0" fontId="8" fillId="0" borderId="1" applyAlignment="1" pivotButton="0" quotePrefix="0" xfId="5">
      <alignment wrapText="1"/>
    </xf>
    <xf numFmtId="0" fontId="53" fillId="0" borderId="0" pivotButton="0" quotePrefix="0" xfId="1"/>
    <xf numFmtId="0" fontId="8" fillId="19" borderId="1" pivotButton="0" quotePrefix="0" xfId="0"/>
    <xf numFmtId="0" fontId="8" fillId="19" borderId="1" applyAlignment="1" pivotButton="0" quotePrefix="0" xfId="0">
      <alignment horizontal="right"/>
    </xf>
    <xf numFmtId="0" fontId="7" fillId="0" borderId="1" pivotButton="0" quotePrefix="0" xfId="0"/>
    <xf numFmtId="164" fontId="7" fillId="0" borderId="1" pivotButton="0" quotePrefix="0" xfId="0"/>
    <xf numFmtId="0" fontId="8" fillId="17" borderId="1" applyAlignment="1" pivotButton="0" quotePrefix="0" xfId="1">
      <alignment horizontal="center" vertical="center" wrapText="1"/>
    </xf>
    <xf numFmtId="0" fontId="8" fillId="21" borderId="1" applyAlignment="1" pivotButton="0" quotePrefix="0" xfId="1">
      <alignment horizontal="center" vertical="center" wrapText="1"/>
    </xf>
    <xf numFmtId="3" fontId="51" fillId="3" borderId="1" applyAlignment="1" pivotButton="0" quotePrefix="0" xfId="1">
      <alignment horizontal="center"/>
    </xf>
    <xf numFmtId="0" fontId="52" fillId="9" borderId="50" applyAlignment="1" pivotButton="0" quotePrefix="0" xfId="1">
      <alignment vertical="center"/>
    </xf>
    <xf numFmtId="0" fontId="52" fillId="9" borderId="51" applyAlignment="1" pivotButton="0" quotePrefix="0" xfId="1">
      <alignment horizontal="center" vertical="center"/>
    </xf>
    <xf numFmtId="0" fontId="7" fillId="0" borderId="52" applyAlignment="1" pivotButton="0" quotePrefix="0" xfId="1">
      <alignment vertical="center"/>
    </xf>
    <xf numFmtId="9" fontId="7" fillId="0" borderId="23" applyAlignment="1" pivotButton="0" quotePrefix="0" xfId="1">
      <alignment horizontal="center" vertical="center"/>
    </xf>
    <xf numFmtId="0" fontId="7" fillId="0" borderId="53" applyAlignment="1" pivotButton="0" quotePrefix="0" xfId="1">
      <alignment vertical="center"/>
    </xf>
    <xf numFmtId="9" fontId="7" fillId="0" borderId="54" applyAlignment="1" pivotButton="0" quotePrefix="0" xfId="1">
      <alignment horizontal="center" vertical="center"/>
    </xf>
    <xf numFmtId="0" fontId="55" fillId="0" borderId="0" pivotButton="0" quotePrefix="0" xfId="0"/>
    <xf numFmtId="0" fontId="8" fillId="19" borderId="1" applyAlignment="1" pivotButton="0" quotePrefix="0" xfId="1">
      <alignment horizontal="center"/>
    </xf>
    <xf numFmtId="0" fontId="7" fillId="0" borderId="1" applyAlignment="1" pivotButton="0" quotePrefix="0" xfId="1">
      <alignment horizontal="right"/>
    </xf>
    <xf numFmtId="0" fontId="46" fillId="3" borderId="1" applyAlignment="1" pivotButton="0" quotePrefix="0" xfId="1">
      <alignment horizontal="center"/>
    </xf>
    <xf numFmtId="0" fontId="25" fillId="0" borderId="1" pivotButton="0" quotePrefix="0" xfId="1"/>
    <xf numFmtId="0" fontId="56" fillId="20" borderId="1" applyAlignment="1" pivotButton="0" quotePrefix="0" xfId="1">
      <alignment horizontal="left" vertical="top" wrapText="1"/>
    </xf>
    <xf numFmtId="0" fontId="20" fillId="0" borderId="0" applyAlignment="1" pivotButton="0" quotePrefix="0" xfId="3">
      <alignment horizontal="center" wrapText="1"/>
    </xf>
    <xf numFmtId="0" fontId="17" fillId="0" borderId="0" applyAlignment="1" pivotButton="0" quotePrefix="0" xfId="1">
      <alignment horizontal="center"/>
    </xf>
    <xf numFmtId="0" fontId="16" fillId="8" borderId="9" applyAlignment="1" pivotButton="0" quotePrefix="0" xfId="1">
      <alignment horizontal="center"/>
    </xf>
    <xf numFmtId="0" fontId="16" fillId="8" borderId="10" applyAlignment="1" pivotButton="0" quotePrefix="0" xfId="1">
      <alignment horizontal="center"/>
    </xf>
    <xf numFmtId="0" fontId="16" fillId="8" borderId="8" applyAlignment="1" pivotButton="0" quotePrefix="0" xfId="1">
      <alignment horizontal="center"/>
    </xf>
    <xf numFmtId="0" fontId="16" fillId="0" borderId="0" applyAlignment="1" pivotButton="0" quotePrefix="0" xfId="1">
      <alignment horizontal="center" vertical="center" wrapText="1"/>
    </xf>
    <xf numFmtId="0" fontId="17" fillId="0" borderId="0" applyAlignment="1" pivotButton="0" quotePrefix="0" xfId="1">
      <alignment horizontal="center" vertical="center" wrapText="1"/>
    </xf>
    <xf numFmtId="0" fontId="29" fillId="0" borderId="9" applyAlignment="1" pivotButton="0" quotePrefix="0" xfId="1">
      <alignment horizontal="center" vertical="center" wrapText="1"/>
    </xf>
    <xf numFmtId="0" fontId="29" fillId="0" borderId="8" applyAlignment="1" pivotButton="0" quotePrefix="0" xfId="1">
      <alignment horizontal="center" vertical="center" wrapText="1"/>
    </xf>
    <xf numFmtId="0" fontId="14" fillId="0" borderId="0" applyAlignment="1" pivotButton="0" quotePrefix="0" xfId="1">
      <alignment horizontal="center" vertical="center" wrapText="1"/>
    </xf>
    <xf numFmtId="0" fontId="16" fillId="0" borderId="0" applyAlignment="1" pivotButton="0" quotePrefix="0" xfId="1">
      <alignment horizontal="center"/>
    </xf>
    <xf numFmtId="0" fontId="18" fillId="0" borderId="0" applyAlignment="1" pivotButton="0" quotePrefix="0" xfId="1">
      <alignment horizontal="right" vertical="center"/>
    </xf>
    <xf numFmtId="0" fontId="19" fillId="0" borderId="0" applyAlignment="1" pivotButton="0" quotePrefix="0" xfId="1">
      <alignment horizontal="center"/>
    </xf>
    <xf numFmtId="0" fontId="18" fillId="0" borderId="0" applyAlignment="1" pivotButton="0" quotePrefix="0" xfId="1">
      <alignment horizontal="left" vertical="center"/>
    </xf>
    <xf numFmtId="0" fontId="21" fillId="0" borderId="0" applyAlignment="1" pivotButton="0" quotePrefix="0" xfId="1">
      <alignment horizontal="center" vertical="center" wrapText="1"/>
    </xf>
    <xf numFmtId="0" fontId="21" fillId="0" borderId="0" applyAlignment="1" pivotButton="0" quotePrefix="0" xfId="1">
      <alignment horizontal="center"/>
    </xf>
    <xf numFmtId="0" fontId="17" fillId="0" borderId="0" applyAlignment="1" pivotButton="0" quotePrefix="0" xfId="1">
      <alignment horizontal="left" vertical="center" wrapText="1"/>
    </xf>
    <xf numFmtId="0" fontId="28" fillId="0" borderId="0" applyAlignment="1" pivotButton="0" quotePrefix="0" xfId="1">
      <alignment horizontal="center" vertical="center" wrapText="1"/>
    </xf>
    <xf numFmtId="0" fontId="7" fillId="0" borderId="1" applyAlignment="1" pivotButton="0" quotePrefix="0" xfId="1">
      <alignment horizontal="center"/>
    </xf>
    <xf numFmtId="0" fontId="52" fillId="9" borderId="50" applyAlignment="1" pivotButton="0" quotePrefix="0" xfId="1">
      <alignment horizontal="center" vertical="center"/>
    </xf>
    <xf numFmtId="0" fontId="52" fillId="9" borderId="51" applyAlignment="1" pivotButton="0" quotePrefix="0" xfId="1">
      <alignment horizontal="center" vertical="center"/>
    </xf>
    <xf numFmtId="0" fontId="7" fillId="0" borderId="22" applyAlignment="1" pivotButton="0" quotePrefix="0" xfId="1">
      <alignment horizontal="left" vertical="center"/>
    </xf>
    <xf numFmtId="0" fontId="7" fillId="0" borderId="10" applyAlignment="1" pivotButton="0" quotePrefix="0" xfId="1">
      <alignment horizontal="left" vertical="center"/>
    </xf>
    <xf numFmtId="0" fontId="7" fillId="0" borderId="24" applyAlignment="1" pivotButton="0" quotePrefix="0" xfId="1">
      <alignment horizontal="left" vertical="center"/>
    </xf>
    <xf numFmtId="0" fontId="7" fillId="0" borderId="60" applyAlignment="1" pivotButton="0" quotePrefix="0" xfId="1">
      <alignment horizontal="left" vertical="center"/>
    </xf>
    <xf numFmtId="0" fontId="7" fillId="0" borderId="61" applyAlignment="1" pivotButton="0" quotePrefix="0" xfId="1">
      <alignment horizontal="left" vertical="center"/>
    </xf>
    <xf numFmtId="0" fontId="7" fillId="0" borderId="62" applyAlignment="1" pivotButton="0" quotePrefix="0" xfId="1">
      <alignment horizontal="left" vertical="center"/>
    </xf>
    <xf numFmtId="0" fontId="7" fillId="0" borderId="53" applyAlignment="1" pivotButton="0" quotePrefix="0" xfId="1">
      <alignment horizontal="center" vertical="center"/>
    </xf>
    <xf numFmtId="0" fontId="7" fillId="0" borderId="54" applyAlignment="1" pivotButton="0" quotePrefix="0" xfId="1">
      <alignment horizontal="center" vertical="center"/>
    </xf>
    <xf numFmtId="0" fontId="8" fillId="10" borderId="16" applyAlignment="1" pivotButton="0" quotePrefix="0" xfId="1">
      <alignment horizontal="center"/>
    </xf>
    <xf numFmtId="0" fontId="52" fillId="9" borderId="57" applyAlignment="1" pivotButton="0" quotePrefix="0" xfId="1">
      <alignment horizontal="center" vertical="center"/>
    </xf>
    <xf numFmtId="0" fontId="52" fillId="9" borderId="58" applyAlignment="1" pivotButton="0" quotePrefix="0" xfId="1">
      <alignment horizontal="center" vertical="center"/>
    </xf>
    <xf numFmtId="0" fontId="52" fillId="9" borderId="59" applyAlignment="1" pivotButton="0" quotePrefix="0" xfId="1">
      <alignment horizontal="center" vertical="center"/>
    </xf>
    <xf numFmtId="0" fontId="8" fillId="0" borderId="1" applyAlignment="1" pivotButton="0" quotePrefix="0" xfId="1">
      <alignment horizontal="center" vertical="center"/>
    </xf>
    <xf numFmtId="0" fontId="8" fillId="0" borderId="0" applyAlignment="1" pivotButton="0" quotePrefix="0" xfId="1">
      <alignment horizontal="center"/>
    </xf>
    <xf numFmtId="0" fontId="8" fillId="0" borderId="0" applyAlignment="1" pivotButton="0" quotePrefix="0" xfId="1">
      <alignment horizontal="center" wrapText="1"/>
    </xf>
    <xf numFmtId="0" fontId="8" fillId="0" borderId="0" applyAlignment="1" pivotButton="0" quotePrefix="0" xfId="1">
      <alignment horizontal="center" vertical="center" wrapText="1"/>
    </xf>
    <xf numFmtId="0" fontId="7" fillId="0" borderId="0" applyAlignment="1" pivotButton="0" quotePrefix="0" xfId="5">
      <alignment horizontal="left" wrapText="1"/>
    </xf>
    <xf numFmtId="0" fontId="7" fillId="0" borderId="0" pivotButton="0" quotePrefix="0" xfId="5"/>
    <xf numFmtId="0" fontId="37" fillId="24" borderId="32" applyAlignment="1" pivotButton="0" quotePrefix="0" xfId="5">
      <alignment horizontal="center"/>
    </xf>
    <xf numFmtId="0" fontId="38" fillId="0" borderId="33" pivotButton="0" quotePrefix="0" xfId="5"/>
    <xf numFmtId="0" fontId="38" fillId="0" borderId="34" pivotButton="0" quotePrefix="0" xfId="5"/>
    <xf numFmtId="0" fontId="39" fillId="26" borderId="0" applyAlignment="1" pivotButton="0" quotePrefix="0" xfId="5">
      <alignment horizontal="left"/>
    </xf>
    <xf numFmtId="0" fontId="38" fillId="0" borderId="0" pivotButton="0" quotePrefix="0" xfId="5"/>
    <xf numFmtId="0" fontId="8" fillId="24" borderId="0" applyAlignment="1" pivotButton="0" quotePrefix="0" xfId="5">
      <alignment horizontal="center"/>
    </xf>
    <xf numFmtId="0" fontId="7" fillId="0" borderId="0" applyAlignment="1" pivotButton="0" quotePrefix="0" xfId="5">
      <alignment horizontal="center" wrapText="1"/>
    </xf>
    <xf numFmtId="0" fontId="7" fillId="17" borderId="47" applyAlignment="1" pivotButton="0" quotePrefix="0" xfId="0">
      <alignment horizontal="center" wrapText="1"/>
    </xf>
    <xf numFmtId="0" fontId="7" fillId="17" borderId="48" applyAlignment="1" pivotButton="0" quotePrefix="0" xfId="0">
      <alignment horizontal="center" wrapText="1"/>
    </xf>
    <xf numFmtId="0" fontId="7" fillId="17" borderId="49" applyAlignment="1" pivotButton="0" quotePrefix="0" xfId="0">
      <alignment horizontal="center" wrapText="1"/>
    </xf>
    <xf numFmtId="0" fontId="7" fillId="17" borderId="25" applyAlignment="1" pivotButton="0" quotePrefix="0" xfId="0">
      <alignment horizontal="center" wrapText="1"/>
    </xf>
    <xf numFmtId="0" fontId="7" fillId="17" borderId="0" applyAlignment="1" pivotButton="0" quotePrefix="0" xfId="0">
      <alignment horizontal="center" wrapText="1"/>
    </xf>
    <xf numFmtId="0" fontId="7" fillId="17" borderId="26" applyAlignment="1" pivotButton="0" quotePrefix="0" xfId="0">
      <alignment horizontal="center" wrapText="1"/>
    </xf>
    <xf numFmtId="0" fontId="7" fillId="17" borderId="27" applyAlignment="1" pivotButton="0" quotePrefix="0" xfId="0">
      <alignment horizontal="center" wrapText="1"/>
    </xf>
    <xf numFmtId="0" fontId="7" fillId="17" borderId="17" applyAlignment="1" pivotButton="0" quotePrefix="0" xfId="0">
      <alignment horizontal="center" wrapText="1"/>
    </xf>
    <xf numFmtId="0" fontId="7" fillId="17" borderId="28" applyAlignment="1" pivotButton="0" quotePrefix="0" xfId="0">
      <alignment horizontal="center" wrapText="1"/>
    </xf>
    <xf numFmtId="0" fontId="7" fillId="17" borderId="47" applyAlignment="1" pivotButton="0" quotePrefix="0" xfId="0">
      <alignment horizontal="center" vertical="center"/>
    </xf>
    <xf numFmtId="0" fontId="7" fillId="17" borderId="48" applyAlignment="1" pivotButton="0" quotePrefix="0" xfId="0">
      <alignment horizontal="center" vertical="center"/>
    </xf>
    <xf numFmtId="0" fontId="7" fillId="17" borderId="49" applyAlignment="1" pivotButton="0" quotePrefix="0" xfId="0">
      <alignment horizontal="center" vertical="center"/>
    </xf>
    <xf numFmtId="0" fontId="7" fillId="17" borderId="27" applyAlignment="1" pivotButton="0" quotePrefix="0" xfId="0">
      <alignment horizontal="center" vertical="center"/>
    </xf>
    <xf numFmtId="0" fontId="7" fillId="17" borderId="17" applyAlignment="1" pivotButton="0" quotePrefix="0" xfId="0">
      <alignment horizontal="center" vertical="center"/>
    </xf>
    <xf numFmtId="0" fontId="7" fillId="17" borderId="28" applyAlignment="1" pivotButton="0" quotePrefix="0" xfId="0">
      <alignment horizontal="center" vertical="center"/>
    </xf>
    <xf numFmtId="0" fontId="7" fillId="18" borderId="9" applyAlignment="1" pivotButton="0" quotePrefix="0" xfId="5">
      <alignment horizontal="center" vertical="center"/>
    </xf>
    <xf numFmtId="0" fontId="7" fillId="18" borderId="10" applyAlignment="1" pivotButton="0" quotePrefix="0" xfId="5">
      <alignment horizontal="center" vertical="center"/>
    </xf>
    <xf numFmtId="0" fontId="7" fillId="18" borderId="8" applyAlignment="1" pivotButton="0" quotePrefix="0" xfId="5">
      <alignment horizontal="center" vertical="center"/>
    </xf>
    <xf numFmtId="0" fontId="54" fillId="20" borderId="0" applyAlignment="1" pivotButton="0" quotePrefix="0" xfId="1">
      <alignment horizontal="center" vertical="top" wrapText="1"/>
    </xf>
    <xf numFmtId="0" fontId="46" fillId="7" borderId="9" applyAlignment="1" pivotButton="0" quotePrefix="0" xfId="1">
      <alignment horizontal="center"/>
    </xf>
    <xf numFmtId="0" fontId="46" fillId="7" borderId="10" applyAlignment="1" pivotButton="0" quotePrefix="0" xfId="1">
      <alignment horizontal="center"/>
    </xf>
    <xf numFmtId="0" fontId="46" fillId="7" borderId="8" applyAlignment="1" pivotButton="0" quotePrefix="0" xfId="1">
      <alignment horizontal="center"/>
    </xf>
    <xf numFmtId="0" fontId="44" fillId="0" borderId="0" applyAlignment="1" pivotButton="0" quotePrefix="0" xfId="1">
      <alignment horizontal="center"/>
    </xf>
    <xf numFmtId="0" fontId="9" fillId="0" borderId="0" applyAlignment="1" pivotButton="0" quotePrefix="0" xfId="2">
      <alignment horizontal="center"/>
    </xf>
    <xf numFmtId="0" fontId="47" fillId="0" borderId="0" applyAlignment="1" pivotButton="0" quotePrefix="0" xfId="1">
      <alignment horizontal="center"/>
    </xf>
    <xf numFmtId="0" fontId="44" fillId="0" borderId="0" applyAlignment="1" pivotButton="0" quotePrefix="0" xfId="1">
      <alignment horizontal="left"/>
    </xf>
    <xf numFmtId="0" fontId="43" fillId="0" borderId="29" applyAlignment="1" pivotButton="0" quotePrefix="0" xfId="1">
      <alignment horizontal="center" vertical="center" wrapText="1"/>
    </xf>
    <xf numFmtId="0" fontId="43" fillId="0" borderId="30" applyAlignment="1" pivotButton="0" quotePrefix="0" xfId="1">
      <alignment horizontal="center" vertical="center" wrapText="1"/>
    </xf>
    <xf numFmtId="0" fontId="43" fillId="0" borderId="31" applyAlignment="1" pivotButton="0" quotePrefix="0" xfId="1">
      <alignment horizontal="center" vertical="center" wrapText="1"/>
    </xf>
    <xf numFmtId="0" fontId="46" fillId="7" borderId="1" applyAlignment="1" pivotButton="0" quotePrefix="0" xfId="1">
      <alignment horizontal="center"/>
    </xf>
    <xf numFmtId="0" fontId="47" fillId="0" borderId="0" applyAlignment="1" pivotButton="0" quotePrefix="0" xfId="3">
      <alignment horizontal="center"/>
    </xf>
    <xf numFmtId="0" fontId="44" fillId="0" borderId="0" applyAlignment="1" pivotButton="0" quotePrefix="0" xfId="1">
      <alignment horizontal="center" wrapText="1"/>
    </xf>
    <xf numFmtId="0" fontId="44" fillId="0" borderId="0" applyAlignment="1" pivotButton="0" quotePrefix="0" xfId="1">
      <alignment horizontal="center" vertical="center" wrapText="1"/>
    </xf>
    <xf numFmtId="0" fontId="45" fillId="0" borderId="0" applyAlignment="1" pivotButton="0" quotePrefix="0" xfId="1">
      <alignment horizontal="center" wrapText="1"/>
    </xf>
    <xf numFmtId="0" fontId="16" fillId="8" borderId="1" applyAlignment="1" pivotButton="0" quotePrefix="0" xfId="1">
      <alignment horizontal="center"/>
    </xf>
    <xf numFmtId="0" fontId="0" fillId="0" borderId="10" pivotButton="0" quotePrefix="0" xfId="0"/>
    <xf numFmtId="0" fontId="0" fillId="0" borderId="8" pivotButton="0" quotePrefix="0" xfId="0"/>
    <xf numFmtId="0" fontId="29" fillId="0" borderId="1" applyAlignment="1" pivotButton="0" quotePrefix="0" xfId="1">
      <alignment horizontal="center" vertical="center" wrapText="1"/>
    </xf>
    <xf numFmtId="0" fontId="0" fillId="0" borderId="55" pivotButton="0" quotePrefix="0" xfId="0"/>
    <xf numFmtId="0" fontId="0" fillId="0" borderId="56" pivotButton="0" quotePrefix="0" xfId="0"/>
    <xf numFmtId="0" fontId="0" fillId="0" borderId="16" pivotButton="0" quotePrefix="0" xfId="0"/>
    <xf numFmtId="9" fontId="7" fillId="3" borderId="1" applyAlignment="1" pivotButton="0" quotePrefix="0" xfId="1">
      <alignment horizontal="center"/>
    </xf>
    <xf numFmtId="0" fontId="0" fillId="0" borderId="67" pivotButton="0" quotePrefix="0" xfId="0"/>
    <xf numFmtId="0" fontId="0" fillId="0" borderId="71" pivotButton="0" quotePrefix="0" xfId="0"/>
    <xf numFmtId="0" fontId="52" fillId="9" borderId="72" applyAlignment="1" pivotButton="0" quotePrefix="0" xfId="1">
      <alignment horizontal="center" vertical="center"/>
    </xf>
    <xf numFmtId="0" fontId="0" fillId="0" borderId="58" pivotButton="0" quotePrefix="0" xfId="0"/>
    <xf numFmtId="0" fontId="0" fillId="0" borderId="59" pivotButton="0" quotePrefix="0" xfId="0"/>
    <xf numFmtId="0" fontId="7" fillId="0" borderId="68" applyAlignment="1" pivotButton="0" quotePrefix="0" xfId="1">
      <alignment horizontal="left" vertical="center"/>
    </xf>
    <xf numFmtId="0" fontId="0" fillId="0" borderId="24" pivotButton="0" quotePrefix="0" xfId="0"/>
    <xf numFmtId="0" fontId="7" fillId="0" borderId="70" applyAlignment="1" pivotButton="0" quotePrefix="0" xfId="1">
      <alignment horizontal="left" vertical="center"/>
    </xf>
    <xf numFmtId="0" fontId="0" fillId="0" borderId="61" pivotButton="0" quotePrefix="0" xfId="0"/>
    <xf numFmtId="0" fontId="0" fillId="0" borderId="62" pivotButton="0" quotePrefix="0" xfId="0"/>
    <xf numFmtId="164" fontId="7" fillId="0" borderId="1" pivotButton="0" quotePrefix="0" xfId="1"/>
    <xf numFmtId="0" fontId="37" fillId="24" borderId="73" applyAlignment="1" pivotButton="0" quotePrefix="0" xfId="5">
      <alignment horizontal="center"/>
    </xf>
    <xf numFmtId="0" fontId="0" fillId="0" borderId="33" pivotButton="0" quotePrefix="0" xfId="0"/>
    <xf numFmtId="0" fontId="0" fillId="0" borderId="34" pivotButton="0" quotePrefix="0" xfId="0"/>
    <xf numFmtId="0" fontId="7" fillId="17" borderId="14" applyAlignment="1" pivotButton="0" quotePrefix="0" xfId="0">
      <alignment horizontal="center" wrapText="1"/>
    </xf>
    <xf numFmtId="0" fontId="0" fillId="0" borderId="48" pivotButton="0" quotePrefix="0" xfId="0"/>
    <xf numFmtId="0" fontId="0" fillId="0" borderId="49"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17" pivotButton="0" quotePrefix="0" xfId="0"/>
    <xf numFmtId="0" fontId="0" fillId="0" borderId="28" pivotButton="0" quotePrefix="0" xfId="0"/>
    <xf numFmtId="164" fontId="7" fillId="0" borderId="1" pivotButton="0" quotePrefix="0" xfId="0"/>
    <xf numFmtId="0" fontId="7" fillId="17" borderId="14" applyAlignment="1" pivotButton="0" quotePrefix="0" xfId="0">
      <alignment horizontal="center" vertical="center"/>
    </xf>
    <xf numFmtId="14" fontId="7" fillId="3" borderId="0" pivotButton="0" quotePrefix="0" xfId="0"/>
    <xf numFmtId="0" fontId="7" fillId="18" borderId="1" applyAlignment="1" pivotButton="0" quotePrefix="0" xfId="5">
      <alignment horizontal="center" vertical="center"/>
    </xf>
    <xf numFmtId="14" fontId="7" fillId="3" borderId="1" applyAlignment="1" pivotButton="0" quotePrefix="1" xfId="1">
      <alignment horizontal="center"/>
    </xf>
    <xf numFmtId="166" fontId="7" fillId="0" borderId="1" applyAlignment="1" pivotButton="0" quotePrefix="0" xfId="4">
      <alignment horizontal="center"/>
    </xf>
    <xf numFmtId="0" fontId="43" fillId="0" borderId="75" applyAlignment="1" pivotButton="0" quotePrefix="0" xfId="1">
      <alignment horizontal="center" vertical="center" wrapText="1"/>
    </xf>
    <xf numFmtId="0" fontId="0" fillId="0" borderId="30" pivotButton="0" quotePrefix="0" xfId="0"/>
    <xf numFmtId="0" fontId="0" fillId="0" borderId="31" pivotButton="0" quotePrefix="0" xfId="0"/>
  </cellXfs>
  <cellStyles count="9">
    <cellStyle name="Обычный" xfId="0" builtinId="0"/>
    <cellStyle name="Normal 2" xfId="1"/>
    <cellStyle name="Гиперссылка" xfId="2" builtinId="8"/>
    <cellStyle name="Обычный 2" xfId="3"/>
    <cellStyle name="Percent 2" xfId="4"/>
    <cellStyle name="Normal 2 2" xfId="5"/>
    <cellStyle name="Hyperlink 2" xfId="6"/>
    <cellStyle name="Normal 2 3" xfId="7"/>
    <cellStyle name="Hyperlink 3" xfId="8"/>
  </cellStyles>
  <dxfs count="5">
    <dxf>
      <fill>
        <patternFill>
          <bgColor theme="9" tint="0.3999450666829432"/>
        </patternFill>
      </fill>
    </dxf>
    <dxf>
      <fill>
        <patternFill patternType="solid">
          <bgColor rgb="009DC3E6"/>
        </patternFill>
      </fill>
    </dxf>
    <dxf>
      <fill>
        <patternFill patternType="solid">
          <bgColor rgb="00F4B183"/>
        </patternFill>
      </fill>
    </dxf>
    <dxf>
      <fill>
        <patternFill patternType="solid">
          <bgColor rgb="00FFC7CE"/>
        </patternFill>
      </fill>
    </dxf>
    <dxf>
      <fill>
        <patternFill patternType="solid">
          <bgColor rgb="00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externalLink" Target="/xl/externalLinks/externalLink1.xml" Id="rId15" /><Relationship Type="http://schemas.openxmlformats.org/officeDocument/2006/relationships/styles" Target="styles.xml" Id="rId16" /><Relationship Type="http://schemas.openxmlformats.org/officeDocument/2006/relationships/theme" Target="theme/theme1.xml" Id="rId17"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8</col>
      <colOff>481552</colOff>
      <row>0</row>
      <rowOff>0</rowOff>
    </from>
    <to>
      <col>16</col>
      <colOff>508553</colOff>
      <row>26</row>
      <rowOff>77857</rowOff>
    </to>
    <pic>
      <nvPicPr>
        <cNvPr id="2" name="Рисунок 1" descr="Производственный календарь на 2023 год с праздниками и выходными,  утвержденный Правительством"/>
        <cNvPicPr>
          <a:picLocks noChangeAspect="1" noChangeArrowheads="1"/>
        </cNvPicPr>
      </nvPicPr>
      <blipFill>
        <a:blip r:embed="rId1"/>
        <a:srcRect/>
        <a:stretch>
          <a:fillRect/>
        </a:stretch>
      </blipFill>
      <spPr bwMode="auto">
        <a:xfrm>
          <a:off x="11569204" y="0"/>
          <a:ext cx="5515610" cy="4694031"/>
        </a:xfrm>
        <a:prstGeom prst="rect">
          <avLst/>
        </a:prstGeom>
        <a:noFill/>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col>
      <colOff>57150</colOff>
      <row>12</row>
      <rowOff>123825</rowOff>
    </from>
    <to>
      <col>6</col>
      <colOff>9302</colOff>
      <row>15</row>
      <rowOff>127566</rowOff>
    </to>
    <pic>
      <nvPicPr>
        <cNvPr id="2" name="Рисунок 2"/>
        <cNvPicPr>
          <a:picLocks noChangeAspect="1"/>
        </cNvPicPr>
      </nvPicPr>
      <blipFill>
        <a:blip r:embed="rId1"/>
        <a:stretch>
          <a:fillRect/>
        </a:stretch>
      </blipFill>
      <spPr>
        <a:xfrm>
          <a:off x="2586990" y="3148965"/>
          <a:ext cx="1780952" cy="575241"/>
        </a:xfrm>
        <a:prstGeom prst="rect">
          <avLst/>
        </a:prstGeom>
        <a:ln>
          <a:prstDash val="solid"/>
        </a:ln>
      </spPr>
    </pic>
    <clientData/>
  </twoCellAnchor>
  <twoCellAnchor editAs="oneCell">
    <from>
      <col>2</col>
      <colOff>295102</colOff>
      <row>24</row>
      <rowOff>11430</rowOff>
    </from>
    <to>
      <col>6</col>
      <colOff>420988</colOff>
      <row>42</row>
      <rowOff>69966</rowOff>
    </to>
    <pic>
      <nvPicPr>
        <cNvPr id="3" name="Picture 2" descr="Excel names and named ranges: how to define and use in formulas -  Ablebits.com"/>
        <cNvPicPr>
          <a:picLocks noChangeAspect="1" noChangeArrowheads="1"/>
        </cNvPicPr>
      </nvPicPr>
      <blipFill>
        <a:blip r:embed="rId2"/>
        <a:srcRect/>
        <a:stretch>
          <a:fillRect/>
        </a:stretch>
      </blipFill>
      <spPr bwMode="auto">
        <a:xfrm>
          <a:off x="2215342" y="5253990"/>
          <a:ext cx="2564286" cy="3487536"/>
        </a:xfrm>
        <a:prstGeom prst="rect">
          <avLst/>
        </a:prstGeom>
        <a:noFill/>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A:/EXCEL/&#49688;&#51452;/&#49324;&#50629;&#49457;~1/96/&#49552;&#51061;&#44592;01.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Hidden"/>
      <sheetName val="CRITERIA2"/>
      <sheetName val="Cover_&amp;_Parameters"/>
      <sheetName val="Parameters"/>
      <sheetName val="brand_definitions"/>
      <sheetName val="plant"/>
      <sheetName val="bud99"/>
      <sheetName val="Controls"/>
      <sheetName val="Lists"/>
      <sheetName val="validation"/>
      <sheetName val="Front"/>
      <sheetName val="Cases"/>
      <sheetName val="Orientation"/>
      <sheetName val="Pg_1"/>
      <sheetName val="Macro_Assumptions"/>
      <sheetName val="StartSheet"/>
      <sheetName val="Fab2"/>
      <sheetName val="SCO3"/>
      <sheetName val="Divestment_Russia"/>
      <sheetName val="Case"/>
      <sheetName val="Assumptions"/>
      <sheetName val="Custos"/>
      <sheetName val="Settings"/>
      <sheetName val="SumVal"/>
      <sheetName val="Sheet1"/>
      <sheetName val="Fab"/>
      <sheetName val="Input_preparation_-_Future"/>
      <sheetName val="Quarterly_LBO_Model"/>
      <sheetName val="Tabelas"/>
      <sheetName val="Справочники"/>
      <sheetName val="Flash_Report_SDC(EUR)"/>
      <sheetName val="Constants"/>
      <sheetName val="Rel_Histórico"/>
      <sheetName val="Revenues"/>
      <sheetName val="qyrMetas_Real"/>
      <sheetName val="Raw_output"/>
      <sheetName val="Delivery"/>
      <sheetName val="Cost"/>
      <sheetName val="SupplyChainData"/>
      <sheetName val="NIUs"/>
      <sheetName val="Input"/>
      <sheetName val="Data_USA_Adj_US$"/>
      <sheetName val="Data_USA_Cdn$"/>
      <sheetName val="Data_USA_US$"/>
      <sheetName val="capex"/>
      <sheetName val="Sheet3"/>
      <sheetName val="Rel_Hist?rico"/>
      <sheetName val="20. AS new"/>
    </sheetNames>
    <sheetDataSet>
      <sheetData sheetId="0"/>
      <sheetData sheetId="1"/>
      <sheetData sheetId="2"/>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Relationships xmlns="http://schemas.openxmlformats.org/package/2006/relationships"><Relationship Type="http://schemas.openxmlformats.org/officeDocument/2006/relationships/hyperlink" Target="https://support.office.com/en-us/article/DATEDIF-function-25dba1a4-2812-480b-84dd-8b32a451b35c" TargetMode="External" Id="rId1" /><Relationship Type="http://schemas.openxmlformats.org/officeDocument/2006/relationships/hyperlink" Target="https://support.office.com/en-us/article/WORKDAY-function-F764A5B7-05FC-4494-9486-60D494EFBF33" TargetMode="External" Id="rId2" /></Relationships>
</file>

<file path=xl/worksheets/_rels/sheet11.xml.rels><Relationships xmlns="http://schemas.openxmlformats.org/package/2006/relationships"><Relationship Type="http://schemas.openxmlformats.org/officeDocument/2006/relationships/drawing" Target="/xl/drawings/drawing1.xml" Id="rId1" /></Relationships>
</file>

<file path=xl/worksheets/_rels/sheet14.xml.rels><Relationships xmlns="http://schemas.openxmlformats.org/package/2006/relationships"><Relationship Type="http://schemas.openxmlformats.org/officeDocument/2006/relationships/hyperlink" Target="https://www.accountingcpd.net/Benefits_of_named_ranges_in_Excel" TargetMode="External" Id="rId1" /><Relationship Type="http://schemas.openxmlformats.org/officeDocument/2006/relationships/drawing" Target="/xl/drawings/drawing2.xml" Id="rId2" /></Relationships>
</file>

<file path=xl/worksheets/sheet1.xml><?xml version="1.0" encoding="utf-8"?>
<worksheet xmlns="http://schemas.openxmlformats.org/spreadsheetml/2006/main">
  <sheetPr>
    <outlinePr summaryBelow="1" summaryRight="1"/>
    <pageSetUpPr/>
  </sheetPr>
  <dimension ref="B1:J7"/>
  <sheetViews>
    <sheetView zoomScale="130" zoomScaleNormal="130" workbookViewId="0">
      <selection activeCell="D6" sqref="D6"/>
    </sheetView>
  </sheetViews>
  <sheetFormatPr baseColWidth="10" defaultColWidth="9.1640625" defaultRowHeight="14"/>
  <cols>
    <col width="9.1640625" customWidth="1" style="13" min="1" max="3"/>
    <col width="10.5" customWidth="1" style="13" min="4" max="4"/>
    <col width="9.1640625" customWidth="1" style="13" min="5" max="16384"/>
  </cols>
  <sheetData>
    <row r="1" ht="30" customHeight="1">
      <c r="B1" s="11" t="n"/>
      <c r="C1" s="12" t="inlineStr">
        <is>
          <t>Logical, date and time functions</t>
        </is>
      </c>
    </row>
    <row r="3" ht="23" customHeight="1">
      <c r="C3" s="14" t="inlineStr">
        <is>
          <t>Today you will learn:</t>
        </is>
      </c>
    </row>
    <row r="4" ht="18" customHeight="1">
      <c r="B4" s="15" t="inlineStr">
        <is>
          <t>·</t>
        </is>
      </c>
      <c r="C4" s="16" t="inlineStr">
        <is>
          <t>Logical functions and array functions</t>
        </is>
      </c>
      <c r="J4" s="11" t="n"/>
    </row>
    <row r="5" ht="18" customHeight="1">
      <c r="B5" s="15" t="inlineStr">
        <is>
          <t>·</t>
        </is>
      </c>
      <c r="C5" s="16" t="inlineStr">
        <is>
          <t>Check values: information functions</t>
        </is>
      </c>
      <c r="J5" s="11" t="n"/>
    </row>
    <row r="6" ht="18" customHeight="1">
      <c r="B6" s="15" t="inlineStr">
        <is>
          <t>·</t>
        </is>
      </c>
      <c r="C6" s="16" t="inlineStr">
        <is>
          <t>Date and time functions</t>
        </is>
      </c>
    </row>
    <row r="7" ht="18" customHeight="1">
      <c r="B7" s="15" t="inlineStr">
        <is>
          <t>·</t>
        </is>
      </c>
      <c r="C7" s="16" t="inlineStr">
        <is>
          <t>Defined names (a reminder)</t>
        </is>
      </c>
    </row>
  </sheetData>
  <pageMargins left="0.7" right="0.7" top="0.75" bottom="0.75" header="0.3" footer="0.3"/>
  <pageSetup orientation="portrait" paperSize="9"/>
</worksheet>
</file>

<file path=xl/worksheets/sheet2.xml><?xml version="1.0" encoding="utf-8"?>
<worksheet xmlns="http://schemas.openxmlformats.org/spreadsheetml/2006/main">
  <sheetPr>
    <tabColor rgb="FF7030A0"/>
    <outlinePr summaryBelow="1" summaryRight="1"/>
    <pageSetUpPr/>
  </sheetPr>
  <dimension ref="B2:Q68"/>
  <sheetViews>
    <sheetView topLeftCell="A38" zoomScale="83" zoomScaleNormal="55" workbookViewId="0">
      <selection activeCell="P47" sqref="P47"/>
    </sheetView>
  </sheetViews>
  <sheetFormatPr baseColWidth="10" defaultColWidth="9.1640625" defaultRowHeight="14"/>
  <cols>
    <col width="9.1640625" customWidth="1" style="1" min="1" max="1"/>
    <col width="16.5" bestFit="1" customWidth="1" style="1" min="2" max="2"/>
    <col width="17" bestFit="1" customWidth="1" style="1" min="3" max="3"/>
    <col width="24.5" customWidth="1" style="1" min="4" max="4"/>
    <col width="21.83203125" customWidth="1" style="1" min="5" max="5"/>
    <col width="19.6640625" customWidth="1" style="1" min="6" max="6"/>
    <col width="14.5" customWidth="1" style="1" min="7" max="7"/>
    <col width="11.33203125" customWidth="1" style="1" min="8" max="8"/>
    <col width="9.83203125" customWidth="1" style="1" min="9" max="11"/>
    <col width="11.1640625" customWidth="1" style="1" min="12" max="12"/>
    <col width="9.1640625" customWidth="1" style="1" min="13" max="14"/>
    <col width="32.83203125" customWidth="1" style="1" min="15" max="15"/>
    <col width="9.1640625" customWidth="1" style="1" min="16" max="16"/>
    <col width="43.6640625" customWidth="1" style="1" min="17" max="17"/>
    <col width="9.1640625" customWidth="1" style="1" min="18" max="16384"/>
  </cols>
  <sheetData>
    <row r="2" ht="84" customHeight="1">
      <c r="B2" s="234" t="inlineStr">
        <is>
          <t>If you need to check whether some value met a condition and to return a certain outcome (as a text, value, calculation or a boolean value) , the following functions can be used: IF () (or nested IF ()) to return value, AND (), OR (), NOT() to make logical tests.</t>
        </is>
      </c>
    </row>
    <row r="4" ht="21" customHeight="1">
      <c r="F4" s="305" t="inlineStr">
        <is>
          <t>Function IF()</t>
        </is>
      </c>
      <c r="G4" s="306" t="n"/>
      <c r="H4" s="307" t="n"/>
    </row>
    <row r="6" ht="18" customHeight="1">
      <c r="B6" s="234" t="inlineStr">
        <is>
          <t>IF function tests logical expressions and returns corresponding values (outcomes)</t>
        </is>
      </c>
    </row>
    <row r="8" ht="21" customHeight="1">
      <c r="B8" s="17" t="n"/>
      <c r="C8" s="17" t="n"/>
      <c r="D8" s="18" t="n"/>
      <c r="E8" s="17" t="n"/>
      <c r="F8" s="235" t="inlineStr">
        <is>
          <t>Arguments:</t>
        </is>
      </c>
      <c r="I8" s="17" t="n"/>
      <c r="J8" s="17" t="n"/>
      <c r="K8" s="17" t="n"/>
      <c r="L8" s="17" t="n"/>
    </row>
    <row r="9" ht="21" customHeight="1">
      <c r="B9" s="17" t="n"/>
      <c r="C9" s="17" t="n"/>
      <c r="D9" s="18" t="n"/>
      <c r="E9" s="17" t="n"/>
      <c r="F9" s="235" t="n"/>
      <c r="G9" s="235" t="n"/>
      <c r="H9" s="235" t="n"/>
      <c r="I9" s="17" t="n"/>
      <c r="J9" s="17" t="n"/>
      <c r="K9" s="17" t="n"/>
      <c r="L9" s="17" t="n"/>
    </row>
    <row r="10" ht="21" customHeight="1">
      <c r="B10" s="236" t="inlineStr">
        <is>
          <t>(</t>
        </is>
      </c>
      <c r="C10" s="237" t="inlineStr">
        <is>
          <t xml:space="preserve">logical_test; </t>
        </is>
      </c>
      <c r="L10" s="238" t="inlineStr">
        <is>
          <t>)</t>
        </is>
      </c>
    </row>
    <row r="11" ht="21" customHeight="1">
      <c r="C11" s="225" t="inlineStr">
        <is>
          <t xml:space="preserve">A logical expression which tests some condition. Returns TRUE or FALSE </t>
        </is>
      </c>
    </row>
    <row r="12" ht="21" customHeight="1">
      <c r="C12" s="226" t="inlineStr">
        <is>
          <t xml:space="preserve">value_if_true; </t>
        </is>
      </c>
    </row>
    <row r="13" ht="21" customHeight="1">
      <c r="C13" s="225" t="inlineStr">
        <is>
          <t>A result which appears if the condition met</t>
        </is>
      </c>
    </row>
    <row r="14" ht="21" customHeight="1">
      <c r="C14" s="226" t="inlineStr">
        <is>
          <t xml:space="preserve">value_if_false </t>
        </is>
      </c>
    </row>
    <row r="15" ht="21" customHeight="1">
      <c r="C15" s="225" t="inlineStr">
        <is>
          <t>A result which appears if the condition not met</t>
        </is>
      </c>
    </row>
    <row r="16" ht="21" customHeight="1">
      <c r="B16" s="17" t="n"/>
      <c r="C16" s="17" t="n"/>
      <c r="D16" s="17" t="n"/>
      <c r="E16" s="17" t="n"/>
      <c r="F16" s="17" t="n"/>
      <c r="G16" s="17" t="n"/>
      <c r="H16" s="17" t="n"/>
      <c r="I16" s="17" t="n"/>
      <c r="J16" s="17" t="n"/>
      <c r="K16" s="17" t="n"/>
      <c r="L16" s="17" t="n"/>
    </row>
    <row r="17" ht="21" customHeight="1">
      <c r="B17" s="239" t="inlineStr">
        <is>
          <t>Paraphrasing all previous information, IF() functions works the following way:</t>
        </is>
      </c>
    </row>
    <row r="18" ht="21" customHeight="1">
      <c r="B18" s="230" t="inlineStr">
        <is>
          <t>IF the condition met, then returns Result1, otherwise - Result2.</t>
        </is>
      </c>
    </row>
    <row r="19" ht="21" customHeight="1">
      <c r="B19" s="17" t="n"/>
      <c r="C19" s="17" t="n"/>
      <c r="D19" s="17" t="n"/>
      <c r="E19" s="17" t="n"/>
      <c r="F19" s="17" t="n"/>
      <c r="G19" s="17" t="n"/>
      <c r="H19" s="17" t="n"/>
      <c r="I19" s="17" t="n"/>
      <c r="J19" s="17" t="n"/>
      <c r="K19" s="17" t="n"/>
      <c r="L19" s="17" t="n"/>
    </row>
    <row r="20" ht="21" customHeight="1">
      <c r="B20" s="231" t="inlineStr">
        <is>
          <t>I.e. IF function can return only two possible outctomes.</t>
        </is>
      </c>
    </row>
    <row r="21" ht="21" customHeight="1">
      <c r="B21" s="17" t="n"/>
      <c r="C21" s="17" t="n"/>
      <c r="D21" s="17" t="n"/>
      <c r="E21" s="17" t="n"/>
      <c r="F21" s="17" t="n"/>
      <c r="G21" s="17" t="n"/>
      <c r="H21" s="17" t="n"/>
      <c r="I21" s="17" t="n"/>
      <c r="J21" s="17" t="n"/>
      <c r="K21" s="17" t="n"/>
      <c r="L21" s="17" t="n"/>
    </row>
    <row r="22" ht="21" customHeight="1">
      <c r="B22" s="17" t="n"/>
      <c r="C22" s="17" t="n"/>
      <c r="D22" s="17" t="n"/>
      <c r="E22" s="17" t="n"/>
      <c r="F22" s="305" t="inlineStr">
        <is>
          <t>Nested IF (i.e. IF(…IF(….))</t>
        </is>
      </c>
      <c r="G22" s="306" t="n"/>
      <c r="H22" s="307" t="n"/>
      <c r="I22" s="17" t="n"/>
      <c r="J22" s="17" t="n"/>
      <c r="K22" s="17" t="n"/>
      <c r="L22" s="17" t="n"/>
    </row>
    <row r="23" ht="21" customHeight="1">
      <c r="B23" s="17" t="n"/>
      <c r="C23" s="17" t="n"/>
      <c r="D23" s="17" t="n"/>
      <c r="E23" s="17" t="n"/>
      <c r="F23" s="17" t="n"/>
      <c r="G23" s="17" t="n"/>
      <c r="H23" s="17" t="n"/>
      <c r="I23" s="17" t="n"/>
      <c r="J23" s="17" t="n"/>
      <c r="K23" s="17" t="n"/>
      <c r="L23" s="17" t="n"/>
    </row>
    <row r="24" ht="21" customHeight="1">
      <c r="B24" s="231" t="inlineStr">
        <is>
          <t>To perform a task that requires more than 2 outcomes, you can use the nested IF () function</t>
        </is>
      </c>
    </row>
    <row r="25" ht="21" customHeight="1">
      <c r="B25" s="17" t="n"/>
      <c r="C25" s="17" t="n"/>
      <c r="D25" s="17" t="n"/>
      <c r="E25" s="17" t="n"/>
      <c r="F25" s="17" t="n"/>
      <c r="G25" s="17" t="n"/>
      <c r="H25" s="17" t="n"/>
      <c r="I25" s="17" t="n"/>
      <c r="J25" s="17" t="n"/>
      <c r="K25" s="17" t="n"/>
      <c r="L25" s="17" t="n"/>
    </row>
    <row r="26" ht="21" customHeight="1">
      <c r="B26" s="239" t="inlineStr">
        <is>
          <t>Basically, the function IF () is nested in the argument "value_if_false"</t>
        </is>
      </c>
    </row>
    <row r="27" ht="21" customHeight="1">
      <c r="B27" s="240" t="inlineStr">
        <is>
          <t>But it happens that the function IF () is nested in the argument "value_if_true"</t>
        </is>
      </c>
    </row>
    <row r="28" ht="21" customHeight="1">
      <c r="B28" s="17" t="n"/>
      <c r="C28" s="17" t="n"/>
      <c r="D28" s="17" t="n"/>
      <c r="E28" s="17" t="n"/>
      <c r="F28" s="17" t="n"/>
      <c r="G28" s="17" t="n"/>
      <c r="H28" s="17" t="n"/>
      <c r="I28" s="17" t="n"/>
      <c r="J28" s="17" t="n"/>
      <c r="K28" s="17" t="n"/>
      <c r="L28" s="17" t="n"/>
    </row>
    <row r="29" ht="21" customHeight="1">
      <c r="B29" s="239" t="inlineStr">
        <is>
          <t>Simply put, nested IF works the following way:</t>
        </is>
      </c>
    </row>
    <row r="30" ht="21" customHeight="1">
      <c r="B30" s="230" t="inlineStr">
        <is>
          <t>IF the condition1 met, then returns Result1, if condition2 met  - Result2, … otherwise returns 'global' ResultN as false</t>
        </is>
      </c>
      <c r="M30" s="17" t="n"/>
      <c r="N30" s="17" t="n"/>
      <c r="O30" s="17" t="n"/>
      <c r="P30" s="17" t="n"/>
      <c r="Q30" s="17" t="n"/>
    </row>
    <row r="31" ht="21" customHeight="1">
      <c r="B31" s="17" t="n"/>
      <c r="C31" s="17" t="n"/>
      <c r="D31" s="17" t="n"/>
      <c r="E31" s="17" t="n"/>
      <c r="F31" s="17" t="n"/>
      <c r="G31" s="17" t="n"/>
      <c r="H31" s="17" t="n"/>
      <c r="I31" s="17" t="n"/>
      <c r="J31" s="17" t="n"/>
      <c r="K31" s="17" t="n"/>
      <c r="L31" s="17" t="n"/>
      <c r="M31" s="17" t="n"/>
      <c r="N31" s="17" t="n"/>
      <c r="O31" s="17" t="n"/>
      <c r="P31" s="17" t="n"/>
      <c r="Q31" s="17" t="n"/>
    </row>
    <row r="32" ht="21" customHeight="1">
      <c r="B32" s="17" t="n"/>
      <c r="C32" s="17" t="n"/>
      <c r="D32" s="17" t="n"/>
      <c r="E32" s="17" t="n"/>
      <c r="F32" s="305" t="inlineStr">
        <is>
          <t>Functions AND(), OR(), NOT()</t>
        </is>
      </c>
      <c r="G32" s="306" t="n"/>
      <c r="H32" s="307" t="n"/>
      <c r="I32" s="17" t="n"/>
      <c r="J32" s="17" t="n"/>
      <c r="K32" s="17" t="n"/>
      <c r="L32" s="17" t="n"/>
      <c r="M32" s="17" t="n"/>
      <c r="N32" s="17" t="n"/>
      <c r="O32" s="17" t="n"/>
      <c r="P32" s="17" t="n"/>
      <c r="Q32" s="17" t="n"/>
    </row>
    <row r="33" ht="21" customHeight="1">
      <c r="B33" s="17" t="n"/>
      <c r="C33" s="17" t="n"/>
      <c r="D33" s="17" t="n"/>
      <c r="E33" s="17" t="n"/>
      <c r="F33" s="17" t="n"/>
      <c r="G33" s="17" t="n"/>
      <c r="H33" s="17" t="n"/>
      <c r="I33" s="17" t="n"/>
      <c r="J33" s="17" t="n"/>
      <c r="K33" s="17" t="n"/>
      <c r="L33" s="17" t="n"/>
      <c r="M33" s="17" t="n"/>
      <c r="N33" s="17" t="n"/>
      <c r="O33" s="17" t="n"/>
      <c r="P33" s="17" t="n"/>
      <c r="Q33" s="17" t="n"/>
    </row>
    <row r="34" ht="82.25" customHeight="1">
      <c r="B34" s="241" t="inlineStr">
        <is>
          <t>The AND and OR functions can significantly improve the visibility and comprehensibility of complex logical tests and expressions. The NOT function returns the opposite of a given logical or Boolean value which also improves comprehensibility of different logical tests.</t>
        </is>
      </c>
      <c r="M34" s="17" t="n"/>
      <c r="N34" s="17" t="n"/>
      <c r="O34" s="17" t="n"/>
      <c r="P34" s="17" t="n"/>
      <c r="Q34" s="17" t="n"/>
    </row>
    <row r="35" ht="30.5" customHeight="1">
      <c r="B35" s="241" t="inlineStr">
        <is>
          <t>All these functions return TRUE or FALSE, that's why they're perfectly fit for IF statements.</t>
        </is>
      </c>
      <c r="M35" s="17" t="n"/>
      <c r="N35" s="17" t="n"/>
      <c r="O35" s="17" t="n"/>
      <c r="P35" s="17" t="n"/>
      <c r="Q35" s="17" t="n"/>
    </row>
    <row r="36" ht="21" customHeight="1">
      <c r="B36" s="17" t="n"/>
      <c r="C36" s="17" t="n"/>
      <c r="D36" s="17" t="n"/>
      <c r="E36" s="17" t="n"/>
      <c r="F36" s="17" t="n"/>
      <c r="G36" s="17" t="n"/>
      <c r="H36" s="17" t="n"/>
      <c r="I36" s="17" t="n"/>
      <c r="J36" s="17" t="n"/>
      <c r="K36" s="17" t="n"/>
      <c r="L36" s="17" t="n"/>
      <c r="M36" s="17" t="n"/>
      <c r="N36" s="17" t="n"/>
      <c r="O36" s="17" t="n"/>
      <c r="P36" s="17" t="n"/>
      <c r="Q36" s="17" t="n"/>
    </row>
    <row r="37" ht="21" customHeight="1">
      <c r="B37" s="17" t="n"/>
      <c r="C37" s="17" t="n"/>
      <c r="D37" s="17" t="n"/>
      <c r="E37" s="17" t="n"/>
      <c r="F37" s="235" t="inlineStr">
        <is>
          <t>Arguments:</t>
        </is>
      </c>
      <c r="I37" s="17" t="n"/>
      <c r="J37" s="17" t="n"/>
      <c r="K37" s="17" t="n"/>
      <c r="L37" s="17" t="n"/>
      <c r="M37" s="17" t="n"/>
      <c r="N37" s="17" t="n"/>
      <c r="O37" s="17" t="n"/>
      <c r="P37" s="17" t="n"/>
      <c r="Q37" s="17" t="n"/>
    </row>
    <row r="38" ht="21" customHeight="1">
      <c r="B38" s="17" t="n"/>
      <c r="C38" s="17" t="n"/>
      <c r="D38" s="17" t="n"/>
      <c r="E38" s="236" t="inlineStr">
        <is>
          <t>(</t>
        </is>
      </c>
      <c r="F38" s="237" t="inlineStr">
        <is>
          <t>logical_test1;</t>
        </is>
      </c>
      <c r="I38" s="238" t="inlineStr">
        <is>
          <t>)</t>
        </is>
      </c>
      <c r="J38" s="20" t="n"/>
      <c r="K38" s="20" t="n"/>
      <c r="L38" s="20" t="n"/>
      <c r="M38" s="20" t="n"/>
      <c r="N38" s="17" t="n"/>
      <c r="O38" s="17" t="n"/>
      <c r="P38" s="17" t="n"/>
      <c r="Q38" s="17" t="n"/>
    </row>
    <row r="39" ht="21" customHeight="1">
      <c r="B39" s="17" t="n"/>
      <c r="C39" s="17" t="n"/>
      <c r="D39" s="17" t="n"/>
      <c r="F39" s="237" t="inlineStr">
        <is>
          <t>logical_test2;</t>
        </is>
      </c>
      <c r="J39" s="17" t="n"/>
      <c r="K39" s="17" t="n"/>
      <c r="L39" s="17" t="n"/>
      <c r="M39" s="17" t="n"/>
      <c r="N39" s="17" t="n"/>
      <c r="O39" s="17" t="n"/>
      <c r="P39" s="17" t="n"/>
      <c r="Q39" s="17" t="n"/>
    </row>
    <row r="40" ht="21" customHeight="1">
      <c r="B40" s="17" t="n"/>
      <c r="C40" s="17" t="n"/>
      <c r="D40" s="17" t="n"/>
      <c r="F40" s="17" t="n"/>
      <c r="G40" s="235" t="inlineStr">
        <is>
          <t>…</t>
        </is>
      </c>
      <c r="H40" s="235" t="n"/>
      <c r="J40" s="17" t="n"/>
      <c r="K40" s="17" t="n"/>
      <c r="L40" s="17" t="n"/>
      <c r="M40" s="17" t="n"/>
      <c r="N40" s="17" t="n"/>
      <c r="O40" s="17" t="n"/>
      <c r="P40" s="17" t="n"/>
      <c r="Q40" s="17" t="n"/>
    </row>
    <row r="41" ht="21" customHeight="1">
      <c r="B41" s="17" t="n"/>
      <c r="C41" s="17" t="n"/>
      <c r="D41" s="17" t="n"/>
      <c r="E41" s="17" t="n"/>
      <c r="F41" s="17" t="n"/>
      <c r="G41" s="17" t="n"/>
      <c r="H41" s="17" t="n"/>
      <c r="I41" s="17" t="n"/>
      <c r="J41" s="17" t="n"/>
      <c r="K41" s="17" t="n"/>
      <c r="L41" s="17" t="n"/>
      <c r="M41" s="17" t="n"/>
      <c r="N41" s="17" t="n"/>
      <c r="O41" s="17" t="n"/>
      <c r="P41" s="17" t="n"/>
      <c r="Q41" s="17" t="n"/>
    </row>
    <row r="42" ht="21" customHeight="1">
      <c r="B42" s="17" t="n"/>
      <c r="C42" s="305" t="inlineStr">
        <is>
          <t>AND() function</t>
        </is>
      </c>
      <c r="D42" s="306" t="n"/>
      <c r="E42" s="307" t="n"/>
      <c r="F42" s="17" t="n"/>
      <c r="G42" s="17" t="n"/>
      <c r="H42" s="305" t="inlineStr">
        <is>
          <t>OR() function</t>
        </is>
      </c>
      <c r="I42" s="306" t="n"/>
      <c r="J42" s="307" t="n"/>
      <c r="K42" s="17" t="n"/>
      <c r="L42" s="305" t="inlineStr">
        <is>
          <t>NOT() function</t>
        </is>
      </c>
      <c r="M42" s="306" t="n"/>
      <c r="N42" s="307" t="n"/>
      <c r="O42" s="17" t="n"/>
      <c r="P42" s="17" t="n"/>
      <c r="Q42" s="17" t="n"/>
    </row>
    <row r="43" ht="21" customHeight="1">
      <c r="B43" s="17" t="n"/>
      <c r="C43" s="17" t="n"/>
      <c r="D43" s="21" t="n"/>
      <c r="E43" s="17" t="n"/>
      <c r="F43" s="17" t="n"/>
      <c r="G43" s="17" t="n"/>
      <c r="H43" s="17" t="n"/>
      <c r="I43" s="17" t="n"/>
      <c r="J43" s="21" t="n"/>
      <c r="K43" s="17" t="n"/>
      <c r="L43" s="17" t="n"/>
      <c r="M43" s="17" t="n"/>
      <c r="N43" s="17" t="n"/>
      <c r="O43" s="17" t="n"/>
      <c r="P43" s="17" t="n"/>
      <c r="Q43" s="17" t="n"/>
    </row>
    <row r="44" ht="21" customHeight="1">
      <c r="B44" s="231" t="inlineStr">
        <is>
          <t>AND is strict. To return 'TRUE' all tests should return 'TRUE'</t>
        </is>
      </c>
      <c r="G44" s="231" t="inlineStr">
        <is>
          <t>OR is flexible. To return 'TRUE' at list one test should be 'TRUE'</t>
        </is>
      </c>
      <c r="L44" s="17" t="inlineStr">
        <is>
          <t>Turns FALSE into TRUE and vice versa</t>
        </is>
      </c>
      <c r="M44" s="17" t="n"/>
      <c r="N44" s="17" t="n"/>
      <c r="O44" s="17" t="n"/>
      <c r="P44" s="17" t="n"/>
      <c r="Q44" s="17" t="n"/>
    </row>
    <row r="45" ht="21" customHeight="1">
      <c r="B45" s="231" t="inlineStr">
        <is>
          <t>If at least one  argument returns FALSE - all the expression return FALSE</t>
        </is>
      </c>
      <c r="G45" s="231" t="inlineStr">
        <is>
          <t>If all arguments return FALSE - all the expression return FALSE</t>
        </is>
      </c>
      <c r="L45" s="17" t="n"/>
      <c r="M45" s="17" t="n"/>
      <c r="N45" s="17" t="n"/>
      <c r="O45" s="17" t="n"/>
      <c r="P45" s="17" t="n"/>
      <c r="Q45" s="17" t="n"/>
    </row>
    <row r="46" ht="21" customHeight="1">
      <c r="B46" s="22" t="n"/>
      <c r="C46" s="22" t="n"/>
      <c r="D46" s="22" t="n"/>
      <c r="E46" s="22" t="n"/>
      <c r="F46" s="22" t="n"/>
      <c r="G46" s="22" t="n"/>
      <c r="H46" s="22" t="n"/>
      <c r="I46" s="22" t="n"/>
      <c r="J46" s="22" t="n"/>
      <c r="K46" s="22" t="n"/>
      <c r="L46" s="17" t="n"/>
      <c r="M46" s="17" t="n"/>
      <c r="N46" s="17" t="n"/>
      <c r="O46" s="17" t="n"/>
      <c r="P46" s="17" t="n"/>
      <c r="Q46" s="17" t="n"/>
    </row>
    <row r="47" ht="21" customHeight="1">
      <c r="B47" s="242" t="inlineStr">
        <is>
          <t>Check: А1= «BIG», В1 = «green» at the same time</t>
        </is>
      </c>
      <c r="G47" s="242" t="inlineStr">
        <is>
          <t>Check: А1= «BIG» or В1 = «green»</t>
        </is>
      </c>
      <c r="L47" s="23" t="inlineStr">
        <is>
          <t>Switch:</t>
        </is>
      </c>
      <c r="M47" s="17" t="n"/>
      <c r="N47" s="17" t="n"/>
      <c r="O47" s="17" t="n"/>
      <c r="P47" s="17" t="n"/>
      <c r="Q47" s="17" t="n"/>
    </row>
    <row r="48" ht="21" customHeight="1">
      <c r="B48" s="17" t="n"/>
      <c r="C48" s="17" t="n"/>
      <c r="D48" s="24" t="n"/>
      <c r="E48" s="24" t="n"/>
      <c r="F48" s="24" t="n"/>
      <c r="G48" s="24" t="n"/>
      <c r="H48" s="24" t="n"/>
      <c r="I48" s="22" t="n"/>
      <c r="J48" s="22" t="n"/>
      <c r="K48" s="22" t="n"/>
      <c r="L48" s="17" t="n"/>
      <c r="M48" s="17" t="n"/>
      <c r="N48" s="17" t="n"/>
      <c r="O48" s="17" t="n"/>
      <c r="P48" s="17" t="n"/>
      <c r="Q48" s="17" t="n"/>
    </row>
    <row r="49" ht="22" customHeight="1">
      <c r="B49" s="17" t="n"/>
      <c r="C49" s="25" t="inlineStr">
        <is>
          <t>А1</t>
        </is>
      </c>
      <c r="D49" s="25" t="inlineStr">
        <is>
          <t>В1</t>
        </is>
      </c>
      <c r="E49" s="25" t="inlineStr">
        <is>
          <t>AND</t>
        </is>
      </c>
      <c r="F49" s="17" t="n"/>
      <c r="G49" s="17" t="n"/>
      <c r="H49" s="25" t="inlineStr">
        <is>
          <t>А1</t>
        </is>
      </c>
      <c r="I49" s="25" t="inlineStr">
        <is>
          <t>В1</t>
        </is>
      </c>
      <c r="J49" s="25" t="inlineStr">
        <is>
          <t>OR</t>
        </is>
      </c>
      <c r="K49" s="24" t="n"/>
      <c r="L49" s="25" t="inlineStr">
        <is>
          <t>А1</t>
        </is>
      </c>
      <c r="M49" s="25" t="inlineStr">
        <is>
          <t>В1</t>
        </is>
      </c>
      <c r="N49" s="25" t="inlineStr">
        <is>
          <t>NOT</t>
        </is>
      </c>
      <c r="O49" s="17" t="n"/>
      <c r="P49" s="17" t="n"/>
      <c r="Q49" s="17" t="n"/>
    </row>
    <row r="50" ht="22" customHeight="1">
      <c r="B50" s="17" t="n"/>
      <c r="C50" s="26" t="inlineStr">
        <is>
          <t>BIG</t>
        </is>
      </c>
      <c r="D50" s="27" t="inlineStr">
        <is>
          <t>green</t>
        </is>
      </c>
      <c r="E50" s="28" t="n"/>
      <c r="F50" s="17" t="n"/>
      <c r="G50" s="17" t="n"/>
      <c r="H50" s="26" t="inlineStr">
        <is>
          <t>BIG</t>
        </is>
      </c>
      <c r="I50" s="27" t="inlineStr">
        <is>
          <t>green</t>
        </is>
      </c>
      <c r="J50" s="28" t="n"/>
      <c r="K50" s="17" t="n"/>
      <c r="L50" s="308" t="b">
        <v>1</v>
      </c>
      <c r="M50" s="307" t="n"/>
      <c r="N50" s="28" t="n"/>
      <c r="O50" s="17" t="n"/>
      <c r="P50" s="17" t="n"/>
      <c r="Q50" s="17" t="n"/>
    </row>
    <row r="51" ht="22" customHeight="1">
      <c r="B51" s="17" t="n"/>
      <c r="C51" s="28" t="inlineStr">
        <is>
          <t>small</t>
        </is>
      </c>
      <c r="D51" s="27" t="inlineStr">
        <is>
          <t>green</t>
        </is>
      </c>
      <c r="E51" s="28" t="n"/>
      <c r="F51" s="17" t="n"/>
      <c r="G51" s="17" t="n"/>
      <c r="H51" s="28" t="inlineStr">
        <is>
          <t>small</t>
        </is>
      </c>
      <c r="I51" s="27" t="inlineStr">
        <is>
          <t>green</t>
        </is>
      </c>
      <c r="J51" s="28" t="n"/>
      <c r="K51" s="17" t="n"/>
      <c r="L51" s="308" t="b">
        <v>0</v>
      </c>
      <c r="M51" s="307" t="n"/>
      <c r="N51" s="28" t="n"/>
      <c r="O51" s="17" t="n"/>
      <c r="P51" s="17" t="n"/>
      <c r="Q51" s="17" t="n"/>
    </row>
    <row r="52" ht="22" customHeight="1">
      <c r="B52" s="17" t="n"/>
      <c r="C52" s="26" t="inlineStr">
        <is>
          <t>BIG</t>
        </is>
      </c>
      <c r="D52" s="28" t="inlineStr">
        <is>
          <t>black</t>
        </is>
      </c>
      <c r="E52" s="28" t="n"/>
      <c r="F52" s="17" t="n"/>
      <c r="G52" s="17" t="n"/>
      <c r="H52" s="26" t="inlineStr">
        <is>
          <t>BIG</t>
        </is>
      </c>
      <c r="I52" s="28" t="inlineStr">
        <is>
          <t>black</t>
        </is>
      </c>
      <c r="J52" s="28" t="n"/>
      <c r="K52" s="17" t="n"/>
      <c r="L52" s="26" t="inlineStr">
        <is>
          <t>BIG</t>
        </is>
      </c>
      <c r="M52" s="27" t="inlineStr">
        <is>
          <t>green</t>
        </is>
      </c>
      <c r="N52" s="28" t="n"/>
      <c r="O52" s="17" t="inlineStr">
        <is>
          <t>А1&lt;&gt; «BIG», В1 &lt;&gt; «green» at the same time</t>
        </is>
      </c>
      <c r="P52" s="17" t="n"/>
      <c r="Q52" s="17" t="n"/>
    </row>
    <row r="53" ht="22" customHeight="1">
      <c r="B53" s="17" t="n"/>
      <c r="C53" s="28" t="inlineStr">
        <is>
          <t>small</t>
        </is>
      </c>
      <c r="D53" s="28" t="inlineStr">
        <is>
          <t>black</t>
        </is>
      </c>
      <c r="E53" s="28" t="n"/>
      <c r="F53" s="17" t="n"/>
      <c r="G53" s="17" t="n"/>
      <c r="H53" s="28" t="inlineStr">
        <is>
          <t>small</t>
        </is>
      </c>
      <c r="I53" s="28" t="inlineStr">
        <is>
          <t>black</t>
        </is>
      </c>
      <c r="J53" s="28" t="n"/>
      <c r="K53" s="17" t="n"/>
      <c r="L53" s="28" t="inlineStr">
        <is>
          <t>small</t>
        </is>
      </c>
      <c r="M53" s="28" t="inlineStr">
        <is>
          <t>black</t>
        </is>
      </c>
      <c r="N53" s="28" t="n"/>
      <c r="O53" s="17" t="inlineStr">
        <is>
          <t>А1&lt;&gt; «BIG» or В1 &lt;&gt; «green»</t>
        </is>
      </c>
      <c r="P53" s="17" t="n"/>
      <c r="Q53" s="17" t="n"/>
    </row>
    <row r="54" ht="21" customHeight="1">
      <c r="B54" s="17" t="n"/>
      <c r="C54" s="17" t="n"/>
      <c r="D54" s="17" t="n"/>
      <c r="E54" s="17" t="n"/>
      <c r="F54" s="17" t="n"/>
      <c r="G54" s="17" t="n"/>
      <c r="H54" s="17" t="n"/>
      <c r="I54" s="17" t="n"/>
      <c r="J54" s="17" t="n"/>
      <c r="K54" s="17" t="n"/>
      <c r="L54" s="17" t="n"/>
      <c r="M54" s="17" t="n"/>
      <c r="N54" s="17" t="n"/>
      <c r="O54" s="17" t="n"/>
      <c r="P54" s="17" t="n"/>
      <c r="Q54" s="17" t="n"/>
    </row>
    <row r="55" ht="21" customHeight="1">
      <c r="B55" s="17" t="n"/>
      <c r="C55" s="17" t="n"/>
      <c r="D55" s="17" t="n"/>
      <c r="E55" s="17" t="n"/>
      <c r="F55" s="17" t="n"/>
      <c r="G55" s="17" t="n"/>
      <c r="H55" s="17" t="n"/>
      <c r="I55" s="17" t="n"/>
      <c r="J55" s="17" t="n"/>
      <c r="K55" s="17" t="n"/>
      <c r="L55" s="17" t="n"/>
      <c r="M55" s="17" t="n"/>
      <c r="N55" s="17" t="n"/>
      <c r="O55" s="17" t="n"/>
      <c r="P55" s="17" t="n"/>
      <c r="Q55" s="17" t="n"/>
    </row>
    <row r="56" ht="21" customHeight="1">
      <c r="B56" s="17" t="n"/>
      <c r="C56" s="17" t="n"/>
      <c r="D56" s="17" t="n"/>
      <c r="E56" s="17" t="n"/>
      <c r="F56" s="17" t="n"/>
      <c r="G56" s="17" t="n"/>
      <c r="H56" s="17" t="n"/>
      <c r="I56" s="17" t="n"/>
      <c r="J56" s="17" t="n"/>
      <c r="K56" s="17" t="n"/>
      <c r="L56" s="17" t="n"/>
      <c r="M56" s="17" t="n"/>
      <c r="N56" s="17" t="n"/>
      <c r="O56" s="17" t="n"/>
      <c r="P56" s="17" t="n"/>
      <c r="Q56" s="17" t="n"/>
    </row>
    <row r="57" ht="21" customHeight="1">
      <c r="B57" s="17" t="n"/>
      <c r="C57" s="17" t="n"/>
      <c r="D57" s="17" t="n"/>
      <c r="E57" s="17" t="n"/>
      <c r="F57" s="17" t="n"/>
      <c r="G57" s="17" t="n"/>
      <c r="H57" s="17" t="n"/>
      <c r="I57" s="17" t="n"/>
      <c r="J57" s="17" t="n"/>
      <c r="K57" s="17" t="n"/>
      <c r="L57" s="17" t="n"/>
      <c r="M57" s="17" t="n"/>
      <c r="N57" s="17" t="n"/>
      <c r="O57" s="17" t="n"/>
      <c r="P57" s="17" t="n"/>
      <c r="Q57" s="17" t="n"/>
    </row>
    <row r="58" ht="21" customHeight="1">
      <c r="B58" s="17" t="n"/>
      <c r="C58" s="17" t="n"/>
      <c r="D58" s="17" t="n"/>
      <c r="E58" s="17" t="n"/>
      <c r="F58" s="29" t="inlineStr">
        <is>
          <t>Check the following statements:</t>
        </is>
      </c>
      <c r="G58" s="29" t="n"/>
      <c r="H58" s="17" t="n"/>
      <c r="I58" s="17" t="n"/>
      <c r="J58" s="17" t="n"/>
      <c r="K58" s="17" t="n"/>
      <c r="L58" s="17" t="n"/>
      <c r="M58" s="17" t="n"/>
      <c r="N58" s="17" t="n"/>
      <c r="O58" s="17" t="n"/>
      <c r="P58" s="17" t="n"/>
      <c r="Q58" s="17" t="n"/>
    </row>
    <row r="59" ht="22" customHeight="1" thickBot="1">
      <c r="B59" s="30" t="inlineStr">
        <is>
          <t>Salesperson</t>
        </is>
      </c>
      <c r="C59" s="30" t="inlineStr">
        <is>
          <t>Sum of sales</t>
        </is>
      </c>
      <c r="D59" s="30" t="inlineStr">
        <is>
          <t>Number of sales</t>
        </is>
      </c>
      <c r="E59" s="17" t="n"/>
      <c r="F59" s="17" t="n"/>
      <c r="G59" s="17" t="n"/>
      <c r="H59" s="17" t="n"/>
      <c r="I59" s="17" t="n"/>
      <c r="J59" s="17" t="n"/>
      <c r="K59" s="17" t="n"/>
      <c r="L59" s="17" t="n"/>
      <c r="M59" s="17" t="n"/>
      <c r="N59" s="17" t="n"/>
      <c r="O59" s="17" t="n"/>
      <c r="P59" s="31" t="inlineStr">
        <is>
          <t>To remember: operators</t>
        </is>
      </c>
      <c r="Q59" s="32" t="n"/>
    </row>
    <row r="60" ht="21" customHeight="1">
      <c r="B60" s="33" t="inlineStr">
        <is>
          <t>Troung</t>
        </is>
      </c>
      <c r="C60" s="33" t="n">
        <v>67611.09000000001</v>
      </c>
      <c r="D60" s="33" t="n">
        <v>15</v>
      </c>
      <c r="E60" s="17" t="n"/>
      <c r="F60" s="223" t="inlineStr">
        <is>
          <t>Operators</t>
        </is>
      </c>
      <c r="G60" s="223" t="inlineStr">
        <is>
          <t>IF + operators</t>
        </is>
      </c>
      <c r="H60" s="17" t="n"/>
      <c r="I60" s="17" t="n"/>
      <c r="J60" s="17" t="n"/>
      <c r="K60" s="17" t="n"/>
      <c r="L60" s="17" t="n"/>
      <c r="M60" s="17" t="n"/>
      <c r="N60" s="17" t="n"/>
      <c r="O60" s="17" t="n"/>
      <c r="P60" s="34" t="inlineStr">
        <is>
          <t>&lt; (less than)</t>
        </is>
      </c>
      <c r="Q60" s="35" t="n"/>
    </row>
    <row r="61" ht="21" customHeight="1">
      <c r="B61" s="33" t="inlineStr">
        <is>
          <t>Rhonda</t>
        </is>
      </c>
      <c r="C61" s="33" t="n">
        <v>81136.01000000001</v>
      </c>
      <c r="D61" s="33" t="n">
        <v>18</v>
      </c>
      <c r="E61" s="17" t="n"/>
      <c r="F61" s="223" t="inlineStr">
        <is>
          <t>TRUE /FALSE</t>
        </is>
      </c>
      <c r="G61" s="223" t="inlineStr">
        <is>
          <t>Yes/ No</t>
        </is>
      </c>
      <c r="H61" s="17" t="n"/>
      <c r="I61" s="17" t="n"/>
      <c r="J61" s="17" t="n"/>
      <c r="K61" s="17" t="n"/>
      <c r="L61" s="17" t="n"/>
      <c r="M61" s="17" t="n"/>
      <c r="N61" s="17" t="n"/>
      <c r="O61" s="17" t="n"/>
      <c r="P61" s="37" t="inlineStr">
        <is>
          <t>&gt; (greater than)</t>
        </is>
      </c>
      <c r="Q61" s="38" t="n"/>
    </row>
    <row r="62" ht="21" customHeight="1">
      <c r="B62" s="33" t="inlineStr">
        <is>
          <t>Sheliadawn</t>
        </is>
      </c>
      <c r="C62" s="33" t="n">
        <v>37508.21</v>
      </c>
      <c r="D62" s="33" t="n">
        <v>9</v>
      </c>
      <c r="E62" s="17" t="n"/>
      <c r="F62" s="36">
        <f>C61&gt;C67</f>
        <v/>
      </c>
      <c r="G62" s="36">
        <f>IF(C61&gt;C67,"Yes","No")</f>
        <v/>
      </c>
      <c r="H62" s="17" t="inlineStr">
        <is>
          <t>Rhonda sold more than Steven</t>
        </is>
      </c>
      <c r="I62" s="17" t="n"/>
      <c r="J62" s="17" t="n"/>
      <c r="K62" s="17" t="n"/>
      <c r="L62" s="17" t="n"/>
      <c r="M62" s="17" t="n"/>
      <c r="N62" s="17" t="n"/>
      <c r="O62" s="17" t="n"/>
      <c r="P62" s="37" t="inlineStr">
        <is>
          <t xml:space="preserve"> = (equal to)</t>
        </is>
      </c>
      <c r="Q62" s="38" t="n"/>
    </row>
    <row r="63" ht="21" customHeight="1">
      <c r="B63" s="33" t="inlineStr">
        <is>
          <t>Jeri</t>
        </is>
      </c>
      <c r="C63" s="33" t="n">
        <v>35974.74</v>
      </c>
      <c r="D63" s="33" t="n">
        <v>8</v>
      </c>
      <c r="E63" s="17" t="n"/>
      <c r="F63" s="36">
        <f>D66=D67</f>
        <v/>
      </c>
      <c r="G63" s="36">
        <f>IF(D66=D67,"Yes","No")</f>
        <v/>
      </c>
      <c r="H63" s="17" t="inlineStr">
        <is>
          <t>Jon and Steven has equal sales frequency</t>
        </is>
      </c>
      <c r="I63" s="17" t="n"/>
      <c r="J63" s="17" t="n"/>
      <c r="K63" s="17" t="n"/>
      <c r="L63" s="17" t="n"/>
      <c r="M63" s="17" t="n"/>
      <c r="N63" s="17" t="n"/>
      <c r="O63" s="17" t="n"/>
      <c r="P63" s="37" t="inlineStr">
        <is>
          <t>&lt;= (less than or equal to)</t>
        </is>
      </c>
      <c r="Q63" s="38" t="n"/>
    </row>
    <row r="64" ht="21" customHeight="1">
      <c r="B64" s="33" t="inlineStr">
        <is>
          <t>Chin</t>
        </is>
      </c>
      <c r="C64" s="33" t="n">
        <v>73159.55</v>
      </c>
      <c r="D64" s="33" t="n">
        <v>13</v>
      </c>
      <c r="E64" s="17" t="n"/>
      <c r="F64" s="36">
        <f>D62&lt;&gt;9</f>
        <v/>
      </c>
      <c r="G64" s="36">
        <f>IF(D62&lt;&gt;9,"Yes","No")</f>
        <v/>
      </c>
      <c r="H64" s="17" t="inlineStr">
        <is>
          <t>Shelidawn sales frequency is not equal to 9</t>
        </is>
      </c>
      <c r="I64" s="17" t="n"/>
      <c r="J64" s="17" t="n"/>
      <c r="K64" s="17" t="n"/>
      <c r="L64" s="17" t="n"/>
      <c r="M64" s="17" t="n"/>
      <c r="N64" s="17" t="n"/>
      <c r="O64" s="17" t="n"/>
      <c r="P64" s="37" t="inlineStr">
        <is>
          <t>&gt;= (greater than or equal to)</t>
        </is>
      </c>
      <c r="Q64" s="38" t="n"/>
    </row>
    <row r="65" ht="22" customHeight="1" thickBot="1">
      <c r="B65" s="33" t="inlineStr">
        <is>
          <t>Luke</t>
        </is>
      </c>
      <c r="C65" s="33" t="n">
        <v>47326.36</v>
      </c>
      <c r="D65" s="33" t="n">
        <v>11</v>
      </c>
      <c r="E65" s="17" t="n"/>
      <c r="F65" s="36">
        <f>AND(C64&gt;=70000,C64&lt;=80000)</f>
        <v/>
      </c>
      <c r="G65" s="36">
        <f>IF(AND(C64&gt;=70000,C64&lt;=80000),"Yes","No")</f>
        <v/>
      </c>
      <c r="H65" s="17" t="inlineStr">
        <is>
          <t>Chin's performance greater or equal to $70 000 and less or equal than $80 000</t>
        </is>
      </c>
      <c r="I65" s="17" t="n"/>
      <c r="J65" s="17" t="n"/>
      <c r="K65" s="17" t="n"/>
      <c r="L65" s="17" t="n"/>
      <c r="M65" s="17" t="n"/>
      <c r="N65" s="17" t="n"/>
      <c r="O65" s="17" t="n"/>
      <c r="P65" s="39" t="inlineStr">
        <is>
          <t>&lt;&gt; (not equal to)</t>
        </is>
      </c>
      <c r="Q65" s="40" t="n"/>
    </row>
    <row r="66" ht="21" customHeight="1">
      <c r="B66" s="33" t="inlineStr">
        <is>
          <t>Jon</t>
        </is>
      </c>
      <c r="C66" s="33" t="n">
        <v>77227.11000000002</v>
      </c>
      <c r="D66" s="33" t="n">
        <v>13</v>
      </c>
      <c r="E66" s="17" t="n"/>
      <c r="F66" s="17" t="n"/>
      <c r="G66" s="17" t="n"/>
      <c r="H66" s="17" t="n"/>
      <c r="I66" s="17" t="n"/>
      <c r="J66" s="17" t="n"/>
      <c r="K66" s="17" t="n"/>
      <c r="L66" s="17" t="n"/>
      <c r="M66" s="17" t="n"/>
      <c r="N66" s="17" t="n"/>
      <c r="O66" s="17" t="n"/>
      <c r="P66" s="17" t="n"/>
      <c r="Q66" s="17" t="n"/>
    </row>
    <row r="67" ht="21" customHeight="1">
      <c r="B67" s="33" t="inlineStr">
        <is>
          <t>Steven</t>
        </is>
      </c>
      <c r="C67" s="33" t="n">
        <v>64970.70000000001</v>
      </c>
      <c r="D67" s="33" t="n">
        <v>13</v>
      </c>
      <c r="E67" s="17" t="n"/>
      <c r="F67" s="17" t="n"/>
      <c r="G67" s="17" t="n"/>
      <c r="H67" s="17" t="n"/>
      <c r="I67" s="17" t="n"/>
      <c r="J67" s="17" t="n"/>
      <c r="K67" s="17" t="n"/>
      <c r="L67" s="17" t="n"/>
      <c r="M67" s="17" t="n"/>
      <c r="N67" s="17" t="n"/>
      <c r="O67" s="17" t="n"/>
      <c r="P67" s="17" t="n"/>
      <c r="Q67" s="17" t="n"/>
    </row>
    <row r="68" ht="21" customHeight="1">
      <c r="F68" s="17" t="n"/>
      <c r="G68" s="17" t="n"/>
      <c r="H68" s="17" t="n"/>
    </row>
  </sheetData>
  <mergeCells count="40">
    <mergeCell ref="B35:L35"/>
    <mergeCell ref="B26:L26"/>
    <mergeCell ref="C10:K10"/>
    <mergeCell ref="L42:N42"/>
    <mergeCell ref="B47:F47"/>
    <mergeCell ref="F32:H32"/>
    <mergeCell ref="F8:H8"/>
    <mergeCell ref="I38:I40"/>
    <mergeCell ref="C12:K12"/>
    <mergeCell ref="B18:L18"/>
    <mergeCell ref="B27:L27"/>
    <mergeCell ref="F38:H38"/>
    <mergeCell ref="C11:K11"/>
    <mergeCell ref="F22:H22"/>
    <mergeCell ref="B2:L2"/>
    <mergeCell ref="F37:H37"/>
    <mergeCell ref="B17:L17"/>
    <mergeCell ref="F39:H39"/>
    <mergeCell ref="B44:F44"/>
    <mergeCell ref="H42:J42"/>
    <mergeCell ref="L51:M51"/>
    <mergeCell ref="B29:L29"/>
    <mergeCell ref="C13:K13"/>
    <mergeCell ref="E38:E40"/>
    <mergeCell ref="L50:M50"/>
    <mergeCell ref="F4:H4"/>
    <mergeCell ref="B10:B15"/>
    <mergeCell ref="B34:L34"/>
    <mergeCell ref="G45:K45"/>
    <mergeCell ref="L10:L15"/>
    <mergeCell ref="C42:E42"/>
    <mergeCell ref="C15:K15"/>
    <mergeCell ref="B6:L6"/>
    <mergeCell ref="B30:L30"/>
    <mergeCell ref="G47:K47"/>
    <mergeCell ref="C14:K14"/>
    <mergeCell ref="B24:L24"/>
    <mergeCell ref="B20:L20"/>
    <mergeCell ref="G44:K44"/>
    <mergeCell ref="B45:F45"/>
  </mergeCells>
  <pageMargins left="0.7" right="0.7" top="0.75" bottom="0.75" header="0.3" footer="0.3"/>
  <pageSetup orientation="portrait" paperSize="9"/>
</worksheet>
</file>

<file path=xl/worksheets/sheet3.xml><?xml version="1.0" encoding="utf-8"?>
<worksheet xmlns="http://schemas.openxmlformats.org/spreadsheetml/2006/main">
  <sheetPr>
    <tabColor rgb="FF7030A0"/>
    <outlinePr summaryBelow="1" summaryRight="1"/>
    <pageSetUpPr/>
  </sheetPr>
  <dimension ref="A1:M37"/>
  <sheetViews>
    <sheetView zoomScale="89" zoomScaleNormal="70" workbookViewId="0">
      <selection activeCell="I14" sqref="I14"/>
    </sheetView>
  </sheetViews>
  <sheetFormatPr baseColWidth="10" defaultColWidth="8.83203125" defaultRowHeight="14"/>
  <cols>
    <col width="4.5" customWidth="1" style="1" min="1" max="1"/>
    <col width="11.5" customWidth="1" style="1" min="2" max="2"/>
    <col width="8.83203125" customWidth="1" style="1" min="3" max="3"/>
    <col width="17.83203125" bestFit="1" customWidth="1" style="1" min="4" max="4"/>
    <col width="8.83203125" customWidth="1" style="1" min="5" max="5"/>
    <col width="10" bestFit="1" customWidth="1" style="1" min="6" max="6"/>
    <col width="12.1640625" bestFit="1" customWidth="1" style="1" min="7" max="7"/>
    <col width="7.83203125" bestFit="1" customWidth="1" style="1" min="8" max="8"/>
    <col width="14.1640625" bestFit="1" customWidth="1" style="1" min="9" max="9"/>
    <col width="7.1640625" bestFit="1" customWidth="1" style="1" min="10" max="10"/>
    <col width="23.5" customWidth="1" style="1" min="11" max="11"/>
    <col width="12.6640625" bestFit="1" customWidth="1" style="1" min="12" max="12"/>
    <col width="14.83203125" bestFit="1" customWidth="1" style="1" min="13" max="13"/>
    <col width="16.5" customWidth="1" style="1" min="14" max="14"/>
    <col width="8.83203125" customWidth="1" style="1" min="15" max="16384"/>
  </cols>
  <sheetData>
    <row r="1" ht="18" customFormat="1" customHeight="1" s="42">
      <c r="A1" s="41" t="inlineStr">
        <is>
          <t>Use AND/ OR functions and Conditional Formatting to highlight</t>
        </is>
      </c>
    </row>
    <row r="2" ht="18" customFormat="1" customHeight="1" s="42"/>
    <row r="3" ht="18" customFormat="1" customHeight="1" s="42">
      <c r="A3" s="43" t="inlineStr">
        <is>
          <t>Highlight with blue color rows where sale was made by Fedorov or Morozov</t>
        </is>
      </c>
      <c r="B3" s="43" t="n"/>
      <c r="C3" s="43" t="n"/>
      <c r="D3" s="43" t="n"/>
      <c r="E3" s="43" t="n"/>
      <c r="F3" s="43" t="n"/>
      <c r="G3" s="43" t="n"/>
      <c r="H3" s="43" t="n"/>
      <c r="I3" s="43" t="n"/>
    </row>
    <row r="4" ht="18" customFormat="1" customHeight="1" s="42"/>
    <row r="5" ht="18" customFormat="1" customHeight="1" s="42">
      <c r="A5" s="43" t="inlineStr">
        <is>
          <t>Highlight rows with orange pattern fill font all cars older 2005 with mileage greater than 100ths km</t>
        </is>
      </c>
      <c r="B5" s="43" t="n"/>
      <c r="C5" s="43" t="n"/>
      <c r="D5" s="43" t="n"/>
      <c r="E5" s="43" t="n"/>
      <c r="F5" s="43" t="n"/>
      <c r="G5" s="43" t="n"/>
      <c r="H5" s="43" t="n"/>
      <c r="I5" s="43" t="n"/>
    </row>
    <row r="7">
      <c r="A7" s="44" t="inlineStr">
        <is>
          <t>№</t>
        </is>
      </c>
      <c r="B7" s="44" t="inlineStr">
        <is>
          <t>Date of sale</t>
        </is>
      </c>
      <c r="C7" s="44" t="inlineStr">
        <is>
          <t>Manufacturer</t>
        </is>
      </c>
      <c r="D7" s="44" t="inlineStr">
        <is>
          <t>Model</t>
        </is>
      </c>
      <c r="E7" s="44" t="inlineStr">
        <is>
          <t>Year</t>
        </is>
      </c>
      <c r="F7" s="44" t="inlineStr">
        <is>
          <t>Price rub</t>
        </is>
      </c>
      <c r="G7" s="44" t="inlineStr">
        <is>
          <t>Mileage km</t>
        </is>
      </c>
      <c r="H7" s="44" t="inlineStr">
        <is>
          <t>Engine</t>
        </is>
      </c>
      <c r="I7" s="44" t="inlineStr">
        <is>
          <t>Transmission</t>
        </is>
      </c>
      <c r="J7" s="44" t="inlineStr">
        <is>
          <t>Color</t>
        </is>
      </c>
      <c r="K7" s="44" t="inlineStr">
        <is>
          <t>Subsidiary</t>
        </is>
      </c>
      <c r="L7" s="44" t="inlineStr">
        <is>
          <t>Salesperson</t>
        </is>
      </c>
      <c r="M7" s="44" t="inlineStr">
        <is>
          <t>Sale Valuation</t>
        </is>
      </c>
    </row>
    <row r="8">
      <c r="A8" s="45" t="n">
        <v>1</v>
      </c>
      <c r="B8" s="46" t="n">
        <v>44114</v>
      </c>
      <c r="C8" s="45" t="inlineStr">
        <is>
          <t>Lada</t>
        </is>
      </c>
      <c r="D8" s="45" t="inlineStr">
        <is>
          <t>(Lada) 2106</t>
        </is>
      </c>
      <c r="E8" s="45" t="n">
        <v>2004</v>
      </c>
      <c r="F8" s="45" t="n">
        <v>75000</v>
      </c>
      <c r="G8" s="45" t="n">
        <v>17113</v>
      </c>
      <c r="H8" s="45" t="n">
        <v>1.6</v>
      </c>
      <c r="I8" s="45" t="inlineStr">
        <is>
          <t>MT</t>
        </is>
      </c>
      <c r="J8" s="45" t="inlineStr">
        <is>
          <t>Red</t>
        </is>
      </c>
      <c r="K8" s="45" t="inlineStr">
        <is>
          <t>AutoCenter Maximus LLC</t>
        </is>
      </c>
      <c r="L8" s="45" t="inlineStr">
        <is>
          <t>Morozov</t>
        </is>
      </c>
      <c r="M8" s="47" t="n">
        <v>3</v>
      </c>
    </row>
    <row r="9">
      <c r="A9" s="45" t="n">
        <v>2</v>
      </c>
      <c r="B9" s="46" t="n">
        <v>44099</v>
      </c>
      <c r="C9" s="45" t="inlineStr">
        <is>
          <t>Opel</t>
        </is>
      </c>
      <c r="D9" s="45" t="inlineStr">
        <is>
          <t>Astra H</t>
        </is>
      </c>
      <c r="E9" s="45" t="n">
        <v>2006</v>
      </c>
      <c r="F9" s="45" t="n">
        <v>255000</v>
      </c>
      <c r="G9" s="45" t="n">
        <v>120000</v>
      </c>
      <c r="H9" s="45" t="n">
        <v>1.6</v>
      </c>
      <c r="I9" s="45" t="inlineStr">
        <is>
          <t>MT</t>
        </is>
      </c>
      <c r="J9" s="45" t="inlineStr">
        <is>
          <t>Blue</t>
        </is>
      </c>
      <c r="K9" s="45" t="inlineStr">
        <is>
          <t>Dolf LLC</t>
        </is>
      </c>
      <c r="L9" s="45" t="inlineStr">
        <is>
          <t>Smirnov</t>
        </is>
      </c>
      <c r="M9" s="47" t="n">
        <v>5.1</v>
      </c>
    </row>
    <row r="10">
      <c r="A10" s="45" t="n">
        <v>3</v>
      </c>
      <c r="B10" s="46" t="n">
        <v>44115</v>
      </c>
      <c r="C10" s="45" t="inlineStr">
        <is>
          <t>Bentley</t>
        </is>
      </c>
      <c r="D10" s="45" t="inlineStr">
        <is>
          <t>Continental GT</t>
        </is>
      </c>
      <c r="E10" s="45" t="n">
        <v>2014</v>
      </c>
      <c r="F10" s="45" t="n">
        <v>10200000</v>
      </c>
      <c r="G10" s="45" t="n">
        <v>8000</v>
      </c>
      <c r="H10" s="45" t="n">
        <v>4</v>
      </c>
      <c r="I10" s="45" t="inlineStr">
        <is>
          <t>AT</t>
        </is>
      </c>
      <c r="J10" s="45" t="inlineStr">
        <is>
          <t>Black</t>
        </is>
      </c>
      <c r="K10" s="45" t="inlineStr">
        <is>
          <t>Dolf LLC</t>
        </is>
      </c>
      <c r="L10" s="45" t="inlineStr">
        <is>
          <t>Fedorov</t>
        </is>
      </c>
      <c r="M10" s="47" t="n">
        <v>5</v>
      </c>
    </row>
    <row r="11">
      <c r="A11" s="45" t="n">
        <v>4</v>
      </c>
      <c r="B11" s="46" t="n">
        <v>44112</v>
      </c>
      <c r="C11" s="45" t="inlineStr">
        <is>
          <t>Peugeot</t>
        </is>
      </c>
      <c r="D11" s="45" t="inlineStr">
        <is>
          <t xml:space="preserve">307 I </t>
        </is>
      </c>
      <c r="E11" s="45" t="n">
        <v>2005</v>
      </c>
      <c r="F11" s="45" t="n">
        <v>440000</v>
      </c>
      <c r="G11" s="45" t="n">
        <v>69000</v>
      </c>
      <c r="H11" s="45" t="n">
        <v>2</v>
      </c>
      <c r="I11" s="45" t="inlineStr">
        <is>
          <t>AT</t>
        </is>
      </c>
      <c r="J11" s="45" t="inlineStr">
        <is>
          <t>Red</t>
        </is>
      </c>
      <c r="K11" s="45" t="inlineStr">
        <is>
          <t>Dolf LLC</t>
        </is>
      </c>
      <c r="L11" s="45" t="inlineStr">
        <is>
          <t>Bogdanov</t>
        </is>
      </c>
      <c r="M11" s="47" t="n">
        <v>2.3</v>
      </c>
    </row>
    <row r="12">
      <c r="A12" s="45" t="n">
        <v>5</v>
      </c>
      <c r="B12" s="46" t="n">
        <v>44109</v>
      </c>
      <c r="C12" s="45" t="inlineStr">
        <is>
          <t>Lexus</t>
        </is>
      </c>
      <c r="D12" s="45" t="inlineStr">
        <is>
          <t>GX I 470</t>
        </is>
      </c>
      <c r="E12" s="45" t="n">
        <v>2007</v>
      </c>
      <c r="F12" s="45" t="n">
        <v>1330000</v>
      </c>
      <c r="G12" s="45" t="n">
        <v>127000</v>
      </c>
      <c r="H12" s="45" t="n">
        <v>4.7</v>
      </c>
      <c r="I12" s="45" t="inlineStr">
        <is>
          <t>AT</t>
        </is>
      </c>
      <c r="J12" s="45" t="inlineStr">
        <is>
          <t>Grey</t>
        </is>
      </c>
      <c r="K12" s="45" t="inlineStr">
        <is>
          <t>Dolf LLC</t>
        </is>
      </c>
      <c r="L12" s="45" t="inlineStr">
        <is>
          <t>Kuznetsov</t>
        </is>
      </c>
      <c r="M12" s="47" t="n">
        <v>2.4</v>
      </c>
    </row>
    <row r="13">
      <c r="A13" s="45" t="n">
        <v>6</v>
      </c>
      <c r="B13" s="46" t="n">
        <v>44117</v>
      </c>
      <c r="C13" s="45" t="inlineStr">
        <is>
          <t>Nissan</t>
        </is>
      </c>
      <c r="D13" s="45" t="inlineStr">
        <is>
          <t xml:space="preserve">Qashqai I </t>
        </is>
      </c>
      <c r="E13" s="45" t="n">
        <v>2007</v>
      </c>
      <c r="F13" s="45" t="n">
        <v>555000</v>
      </c>
      <c r="G13" s="45" t="n">
        <v>110000</v>
      </c>
      <c r="H13" s="45" t="n">
        <v>2</v>
      </c>
      <c r="I13" s="45" t="inlineStr">
        <is>
          <t>CVT</t>
        </is>
      </c>
      <c r="J13" s="45" t="inlineStr">
        <is>
          <t>Blue</t>
        </is>
      </c>
      <c r="K13" s="45" t="inlineStr">
        <is>
          <t>Dolf LLC</t>
        </is>
      </c>
      <c r="L13" s="45" t="inlineStr">
        <is>
          <t>Belov</t>
        </is>
      </c>
      <c r="M13" s="47" t="n">
        <v>2.6</v>
      </c>
    </row>
    <row r="14">
      <c r="A14" s="45" t="n">
        <v>7</v>
      </c>
      <c r="B14" s="46" t="n">
        <v>44114</v>
      </c>
      <c r="C14" s="45" t="inlineStr">
        <is>
          <t>Ford</t>
        </is>
      </c>
      <c r="D14" s="45" t="inlineStr">
        <is>
          <t>Focus III</t>
        </is>
      </c>
      <c r="E14" s="45" t="n">
        <v>2012</v>
      </c>
      <c r="F14" s="45" t="n">
        <v>620000</v>
      </c>
      <c r="G14" s="45" t="n">
        <v>43000</v>
      </c>
      <c r="H14" s="45" t="n">
        <v>1.6</v>
      </c>
      <c r="I14" s="45" t="inlineStr">
        <is>
          <t>AMT</t>
        </is>
      </c>
      <c r="J14" s="45" t="inlineStr">
        <is>
          <t>White</t>
        </is>
      </c>
      <c r="K14" s="45" t="inlineStr">
        <is>
          <t>Dolf LLC</t>
        </is>
      </c>
      <c r="L14" s="45" t="inlineStr">
        <is>
          <t>Fedorov</t>
        </is>
      </c>
      <c r="M14" s="47" t="n">
        <v>4.4</v>
      </c>
    </row>
    <row r="15">
      <c r="A15" s="45" t="n">
        <v>8</v>
      </c>
      <c r="B15" s="46" t="n">
        <v>44116</v>
      </c>
      <c r="C15" s="45" t="inlineStr">
        <is>
          <t>Peugeot</t>
        </is>
      </c>
      <c r="D15" s="45" t="inlineStr">
        <is>
          <t xml:space="preserve">Partner II </t>
        </is>
      </c>
      <c r="E15" s="45" t="n">
        <v>2011</v>
      </c>
      <c r="F15" s="45" t="n">
        <v>340000</v>
      </c>
      <c r="G15" s="45" t="n">
        <v>85300</v>
      </c>
      <c r="H15" s="45" t="n">
        <v>1.4</v>
      </c>
      <c r="I15" s="45" t="inlineStr">
        <is>
          <t>MT</t>
        </is>
      </c>
      <c r="J15" s="45" t="inlineStr">
        <is>
          <t>Yellow</t>
        </is>
      </c>
      <c r="K15" s="45" t="inlineStr">
        <is>
          <t>Dolf LLC</t>
        </is>
      </c>
      <c r="L15" s="45" t="inlineStr">
        <is>
          <t>Kuznetsov</t>
        </is>
      </c>
      <c r="M15" s="47" t="n">
        <v>2</v>
      </c>
    </row>
    <row r="16">
      <c r="A16" s="45" t="n">
        <v>9</v>
      </c>
      <c r="B16" s="46" t="n">
        <v>44116</v>
      </c>
      <c r="C16" s="45" t="inlineStr">
        <is>
          <t>Mercedes-Benz</t>
        </is>
      </c>
      <c r="D16" s="45" t="inlineStr">
        <is>
          <t xml:space="preserve">W124 230 </t>
        </is>
      </c>
      <c r="E16" s="45" t="n">
        <v>1992</v>
      </c>
      <c r="F16" s="45" t="n">
        <v>150000</v>
      </c>
      <c r="G16" s="45" t="n">
        <v>423000</v>
      </c>
      <c r="H16" s="45" t="n">
        <v>2.3</v>
      </c>
      <c r="I16" s="45" t="inlineStr">
        <is>
          <t>MT</t>
        </is>
      </c>
      <c r="J16" s="45" t="inlineStr">
        <is>
          <t>Grey</t>
        </is>
      </c>
      <c r="K16" s="45" t="inlineStr">
        <is>
          <t>Galancy-Auto LLC</t>
        </is>
      </c>
      <c r="L16" s="45" t="inlineStr">
        <is>
          <t>Pavlov</t>
        </is>
      </c>
      <c r="M16" s="47" t="n">
        <v>2.2</v>
      </c>
    </row>
    <row r="17">
      <c r="A17" s="45" t="n">
        <v>10</v>
      </c>
      <c r="B17" s="46" t="n">
        <v>44098</v>
      </c>
      <c r="C17" s="45" t="inlineStr">
        <is>
          <t>Ford</t>
        </is>
      </c>
      <c r="D17" s="45" t="inlineStr">
        <is>
          <t>KA I</t>
        </is>
      </c>
      <c r="E17" s="45" t="n">
        <v>1997</v>
      </c>
      <c r="F17" s="45" t="n">
        <v>70000</v>
      </c>
      <c r="G17" s="45" t="n">
        <v>70000</v>
      </c>
      <c r="H17" s="45" t="n">
        <v>1.3</v>
      </c>
      <c r="I17" s="45" t="inlineStr">
        <is>
          <t>MT</t>
        </is>
      </c>
      <c r="J17" s="45" t="inlineStr">
        <is>
          <t>White</t>
        </is>
      </c>
      <c r="K17" s="45" t="inlineStr">
        <is>
          <t>Dolf LLC</t>
        </is>
      </c>
      <c r="L17" s="45" t="inlineStr">
        <is>
          <t>Popov</t>
        </is>
      </c>
      <c r="M17" s="47" t="n">
        <v>5</v>
      </c>
    </row>
    <row r="18">
      <c r="A18" s="45" t="n">
        <v>11</v>
      </c>
      <c r="B18" s="46" t="n">
        <v>44099</v>
      </c>
      <c r="C18" s="45" t="inlineStr">
        <is>
          <t>Opel</t>
        </is>
      </c>
      <c r="D18" s="45" t="inlineStr">
        <is>
          <t>Astra H Restyling</t>
        </is>
      </c>
      <c r="E18" s="45" t="n">
        <v>2008</v>
      </c>
      <c r="F18" s="45" t="n">
        <v>240000</v>
      </c>
      <c r="G18" s="45" t="n">
        <v>260000</v>
      </c>
      <c r="H18" s="45" t="n">
        <v>1.8</v>
      </c>
      <c r="I18" s="45" t="inlineStr">
        <is>
          <t>MT</t>
        </is>
      </c>
      <c r="J18" s="45" t="inlineStr">
        <is>
          <t>Grey</t>
        </is>
      </c>
      <c r="K18" s="45" t="inlineStr">
        <is>
          <t>MACapital LLC</t>
        </is>
      </c>
      <c r="L18" s="45" t="inlineStr">
        <is>
          <t>Orlov</t>
        </is>
      </c>
      <c r="M18" s="47" t="n">
        <v>5.7</v>
      </c>
    </row>
    <row r="19">
      <c r="A19" s="45" t="n">
        <v>12</v>
      </c>
      <c r="B19" s="46" t="n">
        <v>44099</v>
      </c>
      <c r="C19" s="45" t="inlineStr">
        <is>
          <t>Porsche</t>
        </is>
      </c>
      <c r="D19" s="45" t="inlineStr">
        <is>
          <t>Cayenne I (955)</t>
        </is>
      </c>
      <c r="E19" s="45" t="n">
        <v>2004</v>
      </c>
      <c r="F19" s="45" t="n">
        <v>650000</v>
      </c>
      <c r="G19" s="45" t="n">
        <v>159000</v>
      </c>
      <c r="H19" s="45" t="n">
        <v>3.2</v>
      </c>
      <c r="I19" s="45" t="inlineStr">
        <is>
          <t>AT</t>
        </is>
      </c>
      <c r="J19" s="45" t="inlineStr">
        <is>
          <t>White</t>
        </is>
      </c>
      <c r="K19" s="45" t="inlineStr">
        <is>
          <t>AutoCenter Maximus LLC</t>
        </is>
      </c>
      <c r="L19" s="45" t="inlineStr">
        <is>
          <t>Volkov</t>
        </is>
      </c>
      <c r="M19" s="47" t="n">
        <v>5</v>
      </c>
    </row>
    <row r="20">
      <c r="A20" s="45" t="n">
        <v>13</v>
      </c>
      <c r="B20" s="46" t="n">
        <v>44105</v>
      </c>
      <c r="C20" s="45" t="inlineStr">
        <is>
          <t>Volkswagen</t>
        </is>
      </c>
      <c r="D20" s="45" t="inlineStr">
        <is>
          <t>Golf Plus II</t>
        </is>
      </c>
      <c r="E20" s="45" t="n">
        <v>2013</v>
      </c>
      <c r="F20" s="45" t="n">
        <v>650000</v>
      </c>
      <c r="G20" s="45" t="n">
        <v>20000</v>
      </c>
      <c r="H20" s="45" t="n">
        <v>1.6</v>
      </c>
      <c r="I20" s="45" t="inlineStr">
        <is>
          <t>AMT</t>
        </is>
      </c>
      <c r="J20" s="45" t="inlineStr">
        <is>
          <t>Red</t>
        </is>
      </c>
      <c r="K20" s="45" t="inlineStr">
        <is>
          <t>Dolf LLC</t>
        </is>
      </c>
      <c r="L20" s="45" t="inlineStr">
        <is>
          <t>Smirnov</t>
        </is>
      </c>
      <c r="M20" s="47" t="n">
        <v>5.5</v>
      </c>
    </row>
    <row r="21">
      <c r="A21" s="45" t="n">
        <v>14</v>
      </c>
      <c r="B21" s="46" t="n">
        <v>44105</v>
      </c>
      <c r="C21" s="45" t="inlineStr">
        <is>
          <t>Lexus</t>
        </is>
      </c>
      <c r="D21" s="45" t="inlineStr">
        <is>
          <t>RX I 300</t>
        </is>
      </c>
      <c r="E21" s="45" t="n">
        <v>2002</v>
      </c>
      <c r="F21" s="45" t="n">
        <v>450000</v>
      </c>
      <c r="G21" s="45" t="n">
        <v>149000</v>
      </c>
      <c r="H21" s="45" t="n">
        <v>3</v>
      </c>
      <c r="I21" s="45" t="inlineStr">
        <is>
          <t>AT</t>
        </is>
      </c>
      <c r="J21" s="45" t="inlineStr">
        <is>
          <t>Black</t>
        </is>
      </c>
      <c r="K21" s="45" t="inlineStr">
        <is>
          <t>AutoCenter Maximus LLC</t>
        </is>
      </c>
      <c r="L21" s="45" t="inlineStr">
        <is>
          <t>Morozov</t>
        </is>
      </c>
      <c r="M21" s="47" t="n">
        <v>4.7</v>
      </c>
    </row>
    <row r="22">
      <c r="A22" s="45" t="n">
        <v>15</v>
      </c>
      <c r="B22" s="46" t="n">
        <v>44113</v>
      </c>
      <c r="C22" s="45" t="inlineStr">
        <is>
          <t>Kia</t>
        </is>
      </c>
      <c r="D22" s="45" t="inlineStr">
        <is>
          <t>Rio II Restyling</t>
        </is>
      </c>
      <c r="E22" s="45" t="n">
        <v>2009</v>
      </c>
      <c r="F22" s="45" t="n">
        <v>330000</v>
      </c>
      <c r="G22" s="45" t="n">
        <v>55000</v>
      </c>
      <c r="H22" s="45" t="n">
        <v>1.4</v>
      </c>
      <c r="I22" s="45" t="inlineStr">
        <is>
          <t>MT</t>
        </is>
      </c>
      <c r="J22" s="45" t="inlineStr">
        <is>
          <t>Blue</t>
        </is>
      </c>
      <c r="K22" s="45" t="inlineStr">
        <is>
          <t>Dolf LLC</t>
        </is>
      </c>
      <c r="L22" s="45" t="inlineStr">
        <is>
          <t>Kozlov</t>
        </is>
      </c>
      <c r="M22" s="47" t="n">
        <v>4.9</v>
      </c>
    </row>
    <row r="23">
      <c r="A23" s="45" t="n">
        <v>16</v>
      </c>
      <c r="B23" s="46" t="n">
        <v>44106</v>
      </c>
      <c r="C23" s="45" t="inlineStr">
        <is>
          <t>Nissan</t>
        </is>
      </c>
      <c r="D23" s="45" t="inlineStr">
        <is>
          <t>X-Trail II Restyling</t>
        </is>
      </c>
      <c r="E23" s="45" t="n">
        <v>2011</v>
      </c>
      <c r="F23" s="45" t="n">
        <v>782000</v>
      </c>
      <c r="G23" s="45" t="n">
        <v>118000</v>
      </c>
      <c r="H23" s="45" t="n">
        <v>2</v>
      </c>
      <c r="I23" s="45" t="inlineStr">
        <is>
          <t>CVT</t>
        </is>
      </c>
      <c r="J23" s="45" t="inlineStr">
        <is>
          <t>Yellow</t>
        </is>
      </c>
      <c r="K23" s="45" t="inlineStr">
        <is>
          <t>MACapital LLC</t>
        </is>
      </c>
      <c r="L23" s="45" t="inlineStr">
        <is>
          <t>Makarov</t>
        </is>
      </c>
      <c r="M23" s="47" t="n">
        <v>4</v>
      </c>
    </row>
    <row r="24">
      <c r="A24" s="45" t="n">
        <v>17</v>
      </c>
      <c r="B24" s="46" t="n">
        <v>44106</v>
      </c>
      <c r="C24" s="45" t="inlineStr">
        <is>
          <t>Volkswagen</t>
        </is>
      </c>
      <c r="D24" s="45" t="inlineStr">
        <is>
          <t xml:space="preserve">Passat B4 </t>
        </is>
      </c>
      <c r="E24" s="45" t="n">
        <v>1996</v>
      </c>
      <c r="F24" s="45" t="n">
        <v>78888</v>
      </c>
      <c r="G24" s="45" t="n">
        <v>182000</v>
      </c>
      <c r="H24" s="45" t="n">
        <v>1.8</v>
      </c>
      <c r="I24" s="45" t="inlineStr">
        <is>
          <t>MT</t>
        </is>
      </c>
      <c r="J24" s="45" t="inlineStr">
        <is>
          <t>Black</t>
        </is>
      </c>
      <c r="K24" s="45" t="inlineStr">
        <is>
          <t>AutoCenter Maximus LLC</t>
        </is>
      </c>
      <c r="L24" s="45" t="inlineStr">
        <is>
          <t>Volkov</t>
        </is>
      </c>
      <c r="M24" s="47" t="n">
        <v>5.5</v>
      </c>
    </row>
    <row r="25">
      <c r="A25" s="45" t="n">
        <v>18</v>
      </c>
      <c r="B25" s="46" t="n">
        <v>44100</v>
      </c>
      <c r="C25" s="45" t="inlineStr">
        <is>
          <t>Ford</t>
        </is>
      </c>
      <c r="D25" s="45" t="inlineStr">
        <is>
          <t>Focus II Restyling</t>
        </is>
      </c>
      <c r="E25" s="45" t="n">
        <v>2010</v>
      </c>
      <c r="F25" s="45" t="n">
        <v>390000</v>
      </c>
      <c r="G25" s="45" t="n">
        <v>106500</v>
      </c>
      <c r="H25" s="45" t="n">
        <v>1.8</v>
      </c>
      <c r="I25" s="45" t="inlineStr">
        <is>
          <t>MT</t>
        </is>
      </c>
      <c r="J25" s="45" t="inlineStr">
        <is>
          <t>White</t>
        </is>
      </c>
      <c r="K25" s="45" t="inlineStr">
        <is>
          <t>Galancy-Auto LLC</t>
        </is>
      </c>
      <c r="L25" s="45" t="inlineStr">
        <is>
          <t>Vasiliev</t>
        </is>
      </c>
      <c r="M25" s="47" t="n">
        <v>4.4</v>
      </c>
    </row>
    <row r="26">
      <c r="A26" s="45" t="n">
        <v>19</v>
      </c>
      <c r="B26" s="46" t="n">
        <v>44118</v>
      </c>
      <c r="C26" s="45" t="inlineStr">
        <is>
          <t>Opel</t>
        </is>
      </c>
      <c r="D26" s="45" t="inlineStr">
        <is>
          <t>Astra H Restyling</t>
        </is>
      </c>
      <c r="E26" s="45" t="n">
        <v>2010</v>
      </c>
      <c r="F26" s="45" t="n">
        <v>475000</v>
      </c>
      <c r="G26" s="45" t="n">
        <v>80000</v>
      </c>
      <c r="H26" s="45" t="n">
        <v>1.6</v>
      </c>
      <c r="I26" s="45" t="inlineStr">
        <is>
          <t>AMT</t>
        </is>
      </c>
      <c r="J26" s="45" t="inlineStr">
        <is>
          <t>White</t>
        </is>
      </c>
      <c r="K26" s="45" t="inlineStr">
        <is>
          <t>Dolf LLC</t>
        </is>
      </c>
      <c r="L26" s="45" t="inlineStr">
        <is>
          <t>Sokolov</t>
        </is>
      </c>
      <c r="M26" s="47" t="n">
        <v>2.4</v>
      </c>
    </row>
    <row r="27">
      <c r="A27" s="45" t="n">
        <v>20</v>
      </c>
      <c r="B27" s="46" t="n">
        <v>44116</v>
      </c>
      <c r="C27" s="45" t="inlineStr">
        <is>
          <t>Audi</t>
        </is>
      </c>
      <c r="D27" s="45" t="inlineStr">
        <is>
          <t>A4 III (B7)</t>
        </is>
      </c>
      <c r="E27" s="45" t="n">
        <v>2007</v>
      </c>
      <c r="F27" s="45" t="n">
        <v>590000</v>
      </c>
      <c r="G27" s="45" t="n">
        <v>160000</v>
      </c>
      <c r="H27" s="45" t="n">
        <v>2</v>
      </c>
      <c r="I27" s="45" t="inlineStr">
        <is>
          <t>CVT</t>
        </is>
      </c>
      <c r="J27" s="45" t="inlineStr">
        <is>
          <t>White</t>
        </is>
      </c>
      <c r="K27" s="45" t="inlineStr">
        <is>
          <t>Dolf LLC</t>
        </is>
      </c>
      <c r="L27" s="45" t="inlineStr">
        <is>
          <t>Sokolov</t>
        </is>
      </c>
      <c r="M27" s="47" t="n">
        <v>5</v>
      </c>
    </row>
    <row r="28">
      <c r="A28" s="45" t="n">
        <v>21</v>
      </c>
      <c r="B28" s="46" t="n">
        <v>44104</v>
      </c>
      <c r="C28" s="45" t="inlineStr">
        <is>
          <t>Nissan</t>
        </is>
      </c>
      <c r="D28" s="45" t="inlineStr">
        <is>
          <t xml:space="preserve">X-Trail III </t>
        </is>
      </c>
      <c r="E28" s="45" t="n">
        <v>2015</v>
      </c>
      <c r="F28" s="45" t="n">
        <v>1599000</v>
      </c>
      <c r="G28" s="45" t="n">
        <v>9000</v>
      </c>
      <c r="H28" s="45" t="n">
        <v>2</v>
      </c>
      <c r="I28" s="45" t="inlineStr">
        <is>
          <t>CVT</t>
        </is>
      </c>
      <c r="J28" s="45" t="inlineStr">
        <is>
          <t>Black</t>
        </is>
      </c>
      <c r="K28" s="45" t="inlineStr">
        <is>
          <t>AutoCenter Maximus LLC</t>
        </is>
      </c>
      <c r="L28" s="45" t="inlineStr">
        <is>
          <t>Solovyev</t>
        </is>
      </c>
      <c r="M28" s="47" t="n">
        <v>3.1</v>
      </c>
    </row>
    <row r="29">
      <c r="A29" s="45" t="n">
        <v>22</v>
      </c>
      <c r="B29" s="46" t="n">
        <v>44099</v>
      </c>
      <c r="C29" s="45" t="inlineStr">
        <is>
          <t>Daewoo</t>
        </is>
      </c>
      <c r="D29" s="45" t="inlineStr">
        <is>
          <t>Nexia I Restyling</t>
        </is>
      </c>
      <c r="E29" s="45" t="n">
        <v>2011</v>
      </c>
      <c r="F29" s="45" t="n">
        <v>135000</v>
      </c>
      <c r="G29" s="45" t="n">
        <v>109587</v>
      </c>
      <c r="H29" s="45" t="n">
        <v>1.5</v>
      </c>
      <c r="I29" s="45" t="inlineStr">
        <is>
          <t>MT</t>
        </is>
      </c>
      <c r="J29" s="45" t="inlineStr">
        <is>
          <t>Blue</t>
        </is>
      </c>
      <c r="K29" s="45" t="inlineStr">
        <is>
          <t>Dolf LLC</t>
        </is>
      </c>
      <c r="L29" s="45" t="inlineStr">
        <is>
          <t>Kozlov</t>
        </is>
      </c>
      <c r="M29" s="47" t="n">
        <v>3.7</v>
      </c>
    </row>
    <row r="30">
      <c r="A30" s="45" t="n">
        <v>23</v>
      </c>
      <c r="B30" s="46" t="n">
        <v>44103</v>
      </c>
      <c r="C30" s="45" t="inlineStr">
        <is>
          <t>Toyota</t>
        </is>
      </c>
      <c r="D30" s="45" t="inlineStr">
        <is>
          <t xml:space="preserve">Alphard II </t>
        </is>
      </c>
      <c r="E30" s="45" t="n">
        <v>2012</v>
      </c>
      <c r="F30" s="45" t="n">
        <v>1950000</v>
      </c>
      <c r="G30" s="45" t="n">
        <v>140000</v>
      </c>
      <c r="H30" s="45" t="n">
        <v>3.5</v>
      </c>
      <c r="I30" s="45" t="inlineStr">
        <is>
          <t>AT</t>
        </is>
      </c>
      <c r="J30" s="45" t="inlineStr">
        <is>
          <t>Black</t>
        </is>
      </c>
      <c r="K30" s="45" t="inlineStr">
        <is>
          <t>Eurosib LLC</t>
        </is>
      </c>
      <c r="L30" s="45" t="inlineStr">
        <is>
          <t>Golubev</t>
        </is>
      </c>
      <c r="M30" s="47" t="n">
        <v>3.1</v>
      </c>
    </row>
    <row r="31">
      <c r="A31" s="45" t="n">
        <v>24</v>
      </c>
      <c r="B31" s="46" t="n">
        <v>44101</v>
      </c>
      <c r="C31" s="45" t="inlineStr">
        <is>
          <t>Toyota</t>
        </is>
      </c>
      <c r="D31" s="45" t="inlineStr">
        <is>
          <t>Camry VII</t>
        </is>
      </c>
      <c r="E31" s="45" t="n">
        <v>2016</v>
      </c>
      <c r="F31" s="45" t="n">
        <v>1490000</v>
      </c>
      <c r="G31" s="45" t="n">
        <v>4</v>
      </c>
      <c r="H31" s="45" t="n">
        <v>2.5</v>
      </c>
      <c r="I31" s="45" t="inlineStr">
        <is>
          <t>AT</t>
        </is>
      </c>
      <c r="J31" s="45" t="inlineStr">
        <is>
          <t>Yellow</t>
        </is>
      </c>
      <c r="K31" s="45" t="inlineStr">
        <is>
          <t>Galancy-Auto LLC</t>
        </is>
      </c>
      <c r="L31" s="45" t="inlineStr">
        <is>
          <t>Pavlov</t>
        </is>
      </c>
      <c r="M31" s="47" t="n">
        <v>2.3</v>
      </c>
    </row>
    <row r="32">
      <c r="A32" s="45" t="n">
        <v>25</v>
      </c>
      <c r="B32" s="46" t="n">
        <v>44118</v>
      </c>
      <c r="C32" s="45" t="inlineStr">
        <is>
          <t>Mitsubishi</t>
        </is>
      </c>
      <c r="D32" s="45" t="inlineStr">
        <is>
          <t xml:space="preserve">Pajero IV </t>
        </is>
      </c>
      <c r="E32" s="45" t="n">
        <v>2008</v>
      </c>
      <c r="F32" s="45" t="n">
        <v>1030000</v>
      </c>
      <c r="G32" s="45" t="n">
        <v>106000</v>
      </c>
      <c r="H32" s="45" t="n">
        <v>3.2</v>
      </c>
      <c r="I32" s="45" t="inlineStr">
        <is>
          <t>AT</t>
        </is>
      </c>
      <c r="J32" s="45" t="inlineStr">
        <is>
          <t>Red</t>
        </is>
      </c>
      <c r="K32" s="45" t="inlineStr">
        <is>
          <t>MACapital LLC</t>
        </is>
      </c>
      <c r="L32" s="45" t="inlineStr">
        <is>
          <t>Orlov</t>
        </is>
      </c>
      <c r="M32" s="47" t="n">
        <v>3.9</v>
      </c>
    </row>
    <row r="33">
      <c r="A33" s="45" t="n">
        <v>26</v>
      </c>
      <c r="B33" s="46" t="n">
        <v>44106</v>
      </c>
      <c r="C33" s="45" t="inlineStr">
        <is>
          <t>Chevrolet</t>
        </is>
      </c>
      <c r="D33" s="45" t="inlineStr">
        <is>
          <t xml:space="preserve">Lacetti </t>
        </is>
      </c>
      <c r="E33" s="45" t="n">
        <v>2008</v>
      </c>
      <c r="F33" s="45" t="n">
        <v>275000</v>
      </c>
      <c r="G33" s="45" t="n">
        <v>75000</v>
      </c>
      <c r="H33" s="45" t="n">
        <v>1.6</v>
      </c>
      <c r="I33" s="45" t="inlineStr">
        <is>
          <t>MT</t>
        </is>
      </c>
      <c r="J33" s="45" t="inlineStr">
        <is>
          <t>White</t>
        </is>
      </c>
      <c r="K33" s="45" t="inlineStr">
        <is>
          <t>Dolf LLC</t>
        </is>
      </c>
      <c r="L33" s="45" t="inlineStr">
        <is>
          <t>Ivanov</t>
        </is>
      </c>
      <c r="M33" s="47" t="n">
        <v>4</v>
      </c>
    </row>
    <row r="34">
      <c r="A34" s="45" t="n">
        <v>27</v>
      </c>
      <c r="B34" s="46" t="n">
        <v>44102</v>
      </c>
      <c r="C34" s="45" t="inlineStr">
        <is>
          <t>Nissan</t>
        </is>
      </c>
      <c r="D34" s="45" t="inlineStr">
        <is>
          <t xml:space="preserve">Juke I </t>
        </is>
      </c>
      <c r="E34" s="45" t="n">
        <v>2012</v>
      </c>
      <c r="F34" s="45" t="n">
        <v>615000</v>
      </c>
      <c r="G34" s="45" t="n">
        <v>79500</v>
      </c>
      <c r="H34" s="45" t="n">
        <v>1.6</v>
      </c>
      <c r="I34" s="45" t="inlineStr">
        <is>
          <t>CVT</t>
        </is>
      </c>
      <c r="J34" s="45" t="inlineStr">
        <is>
          <t>Grey</t>
        </is>
      </c>
      <c r="K34" s="45" t="inlineStr">
        <is>
          <t>Eurosib LLC</t>
        </is>
      </c>
      <c r="L34" s="45" t="inlineStr">
        <is>
          <t>Golubev</t>
        </is>
      </c>
      <c r="M34" s="47" t="n">
        <v>1.6</v>
      </c>
    </row>
    <row r="35">
      <c r="A35" s="45" t="n">
        <v>28</v>
      </c>
      <c r="B35" s="46" t="n">
        <v>44101</v>
      </c>
      <c r="C35" s="45" t="inlineStr">
        <is>
          <t>Chevrolet</t>
        </is>
      </c>
      <c r="D35" s="45" t="inlineStr">
        <is>
          <t xml:space="preserve">Aveo I </t>
        </is>
      </c>
      <c r="E35" s="45" t="n">
        <v>2004</v>
      </c>
      <c r="F35" s="45" t="n">
        <v>160000</v>
      </c>
      <c r="G35" s="45" t="n">
        <v>130000</v>
      </c>
      <c r="H35" s="45" t="n">
        <v>1.2</v>
      </c>
      <c r="I35" s="45" t="inlineStr">
        <is>
          <t>MT</t>
        </is>
      </c>
      <c r="J35" s="45" t="inlineStr">
        <is>
          <t>Grey</t>
        </is>
      </c>
      <c r="K35" s="45" t="inlineStr">
        <is>
          <t>Dolf LLC</t>
        </is>
      </c>
      <c r="L35" s="45" t="inlineStr">
        <is>
          <t>Lebedev</t>
        </is>
      </c>
      <c r="M35" s="47" t="n">
        <v>2.2</v>
      </c>
    </row>
    <row r="36">
      <c r="A36" s="45" t="n">
        <v>29</v>
      </c>
      <c r="B36" s="46" t="n">
        <v>44121</v>
      </c>
      <c r="C36" s="45" t="inlineStr">
        <is>
          <t>Mercedes-Benz</t>
        </is>
      </c>
      <c r="D36" s="45" t="inlineStr">
        <is>
          <t>GLK-klasse I</t>
        </is>
      </c>
      <c r="E36" s="45" t="n">
        <v>2014</v>
      </c>
      <c r="F36" s="45" t="n">
        <v>1370000</v>
      </c>
      <c r="G36" s="45" t="n">
        <v>30000</v>
      </c>
      <c r="H36" s="45" t="n">
        <v>2</v>
      </c>
      <c r="I36" s="45" t="inlineStr">
        <is>
          <t>AT</t>
        </is>
      </c>
      <c r="J36" s="45" t="inlineStr">
        <is>
          <t>Black</t>
        </is>
      </c>
      <c r="K36" s="45" t="inlineStr">
        <is>
          <t>MACapital LLC</t>
        </is>
      </c>
      <c r="L36" s="45" t="inlineStr">
        <is>
          <t>Kiselev</t>
        </is>
      </c>
      <c r="M36" s="47" t="n">
        <v>1</v>
      </c>
    </row>
    <row r="37">
      <c r="A37" s="45" t="n">
        <v>30</v>
      </c>
      <c r="B37" s="46" t="n">
        <v>44106</v>
      </c>
      <c r="C37" s="45" t="inlineStr">
        <is>
          <t>Opel</t>
        </is>
      </c>
      <c r="D37" s="45" t="inlineStr">
        <is>
          <t>Corsa D</t>
        </is>
      </c>
      <c r="E37" s="45" t="n">
        <v>2007</v>
      </c>
      <c r="F37" s="45" t="n">
        <v>260000</v>
      </c>
      <c r="G37" s="45" t="n">
        <v>113000</v>
      </c>
      <c r="H37" s="45" t="n">
        <v>1.2</v>
      </c>
      <c r="I37" s="45" t="inlineStr">
        <is>
          <t>MT</t>
        </is>
      </c>
      <c r="J37" s="45" t="inlineStr">
        <is>
          <t>Red</t>
        </is>
      </c>
      <c r="K37" s="45" t="inlineStr">
        <is>
          <t>Dolf LLC</t>
        </is>
      </c>
      <c r="L37" s="45" t="inlineStr">
        <is>
          <t>Popov</t>
        </is>
      </c>
      <c r="M37" s="47" t="n">
        <v>3.5</v>
      </c>
    </row>
  </sheetData>
  <conditionalFormatting sqref="A8:M37">
    <cfRule type="expression" priority="1" dxfId="1">
      <formula>OR($L8="Fedorov",$L8="Morozov")</formula>
    </cfRule>
    <cfRule type="expression" priority="2" dxfId="2">
      <formula>AND($E8&lt;2005,$G8&gt;100000)</formula>
    </cfRule>
  </conditionalFormatting>
  <pageMargins left="0.7" right="0.7" top="0.75" bottom="0.75" header="0.3" footer="0.3"/>
  <pageSetup orientation="portrait" paperSize="9"/>
</worksheet>
</file>

<file path=xl/worksheets/sheet4.xml><?xml version="1.0" encoding="utf-8"?>
<worksheet xmlns="http://schemas.openxmlformats.org/spreadsheetml/2006/main">
  <sheetPr>
    <tabColor rgb="FF7030A0"/>
    <outlinePr summaryBelow="1" summaryRight="1"/>
    <pageSetUpPr/>
  </sheetPr>
  <dimension ref="A1:Q29"/>
  <sheetViews>
    <sheetView zoomScaleNormal="100" workbookViewId="0">
      <selection activeCell="B10" sqref="B10"/>
    </sheetView>
  </sheetViews>
  <sheetFormatPr baseColWidth="10" defaultColWidth="8.83203125" defaultRowHeight="14"/>
  <cols>
    <col width="14.5" customWidth="1" style="1" min="1" max="1"/>
    <col width="58.5" customWidth="1" style="1" min="2" max="2"/>
    <col width="8.83203125" customWidth="1" style="1" min="3" max="3"/>
    <col width="11.5" customWidth="1" style="1" min="4" max="4"/>
    <col width="8.83203125" customWidth="1" style="1" min="5" max="16384"/>
  </cols>
  <sheetData>
    <row r="1" ht="17" customHeight="1" thickBot="1">
      <c r="A1" s="48" t="inlineStr">
        <is>
          <t xml:space="preserve">Function </t>
        </is>
      </c>
      <c r="B1" s="49" t="inlineStr">
        <is>
          <t>Description</t>
        </is>
      </c>
      <c r="D1" s="50" t="inlineStr">
        <is>
          <t>Fill the table with functions:</t>
        </is>
      </c>
    </row>
    <row r="2">
      <c r="A2" s="51" t="inlineStr">
        <is>
          <t>ISBLANK</t>
        </is>
      </c>
      <c r="B2" s="52" t="inlineStr">
        <is>
          <t>Returns TRUE if the value is blank</t>
        </is>
      </c>
    </row>
    <row r="3">
      <c r="A3" s="51" t="inlineStr">
        <is>
          <t>ISERR</t>
        </is>
      </c>
      <c r="B3" s="52" t="inlineStr">
        <is>
          <t>Returns TRUE if the value is any error value except #N/A</t>
        </is>
      </c>
      <c r="D3" s="53" t="inlineStr">
        <is>
          <t>Value</t>
        </is>
      </c>
      <c r="E3" s="53" t="inlineStr">
        <is>
          <t>ISBLANK</t>
        </is>
      </c>
      <c r="F3" s="53" t="inlineStr">
        <is>
          <t>ISERR</t>
        </is>
      </c>
      <c r="G3" s="53" t="inlineStr">
        <is>
          <t>ISERROR</t>
        </is>
      </c>
      <c r="H3" s="53" t="inlineStr">
        <is>
          <t>ISEVEN</t>
        </is>
      </c>
      <c r="I3" s="53" t="inlineStr">
        <is>
          <t>ISODD</t>
        </is>
      </c>
      <c r="J3" s="53" t="inlineStr">
        <is>
          <t>ISFORMULA</t>
        </is>
      </c>
      <c r="K3" s="53" t="inlineStr">
        <is>
          <t>ISLOGICAL</t>
        </is>
      </c>
      <c r="L3" s="53" t="inlineStr">
        <is>
          <t>ISNA</t>
        </is>
      </c>
      <c r="M3" s="53" t="inlineStr">
        <is>
          <t>ISTEXT</t>
        </is>
      </c>
      <c r="N3" s="53" t="inlineStr">
        <is>
          <t>ISNONTEXT</t>
        </is>
      </c>
      <c r="O3" s="53" t="inlineStr">
        <is>
          <t>ISNUMBER</t>
        </is>
      </c>
      <c r="P3" s="53" t="inlineStr">
        <is>
          <t>ISREF</t>
        </is>
      </c>
      <c r="Q3" s="53" t="inlineStr">
        <is>
          <t>TYPE</t>
        </is>
      </c>
    </row>
    <row r="4">
      <c r="A4" s="51" t="inlineStr">
        <is>
          <t>ISERROR</t>
        </is>
      </c>
      <c r="B4" s="52" t="inlineStr">
        <is>
          <t>Returns TRUE if the value is any error value</t>
        </is>
      </c>
      <c r="D4" s="2" t="n">
        <v>5</v>
      </c>
      <c r="E4" s="2">
        <f>ISBLANK($D4)</f>
        <v/>
      </c>
      <c r="F4" s="2">
        <f>ISERR($D4)</f>
        <v/>
      </c>
      <c r="G4" s="2">
        <f>ISERROR($D4)</f>
        <v/>
      </c>
      <c r="H4" s="2">
        <f>ISEVEN($D4)</f>
        <v/>
      </c>
      <c r="I4" s="2">
        <f>ISODD($D4)</f>
        <v/>
      </c>
      <c r="J4" s="2">
        <f>_xlfn.ISFORMULA($D4)</f>
        <v/>
      </c>
      <c r="K4" s="2">
        <f>ISLOGICAL($D4)</f>
        <v/>
      </c>
      <c r="L4" s="2">
        <f>ISNA($D4)</f>
        <v/>
      </c>
      <c r="M4" s="2">
        <f>ISTEXT($D4)</f>
        <v/>
      </c>
      <c r="N4" s="2">
        <f>ISNONTEXT($D4)</f>
        <v/>
      </c>
      <c r="O4" s="2">
        <f>ISNUMBER($D4)</f>
        <v/>
      </c>
      <c r="P4" s="2">
        <f>ISREF($D4)</f>
        <v/>
      </c>
      <c r="Q4" s="2">
        <f>TYPE($D4)</f>
        <v/>
      </c>
    </row>
    <row r="5">
      <c r="A5" s="51" t="inlineStr">
        <is>
          <t>ISEVEN</t>
        </is>
      </c>
      <c r="B5" s="52" t="inlineStr">
        <is>
          <t>Returns TRUE if the number is even</t>
        </is>
      </c>
      <c r="D5" s="2" t="n">
        <v>212</v>
      </c>
      <c r="E5" s="2">
        <f>ISBLANK($D5)</f>
        <v/>
      </c>
      <c r="F5" s="2">
        <f>ISERR($D5)</f>
        <v/>
      </c>
      <c r="G5" s="2">
        <f>ISERROR($D5)</f>
        <v/>
      </c>
      <c r="H5" s="2">
        <f>ISEVEN($D5)</f>
        <v/>
      </c>
      <c r="I5" s="2">
        <f>ISODD($D5)</f>
        <v/>
      </c>
      <c r="J5" s="2">
        <f>_xlfn.ISFORMULA($D5)</f>
        <v/>
      </c>
      <c r="K5" s="2">
        <f>ISLOGICAL($D5)</f>
        <v/>
      </c>
      <c r="L5" s="2">
        <f>ISNA($D5)</f>
        <v/>
      </c>
      <c r="M5" s="2">
        <f>ISTEXT($D5)</f>
        <v/>
      </c>
      <c r="N5" s="2">
        <f>ISNONTEXT($D5)</f>
        <v/>
      </c>
      <c r="O5" s="2">
        <f>ISNUMBER($D5)</f>
        <v/>
      </c>
      <c r="P5" s="2">
        <f>ISREF($D5)</f>
        <v/>
      </c>
      <c r="Q5" s="2">
        <f>TYPE($D5)</f>
        <v/>
      </c>
    </row>
    <row r="6">
      <c r="A6" s="51" t="inlineStr">
        <is>
          <t>ISODD</t>
        </is>
      </c>
      <c r="B6" s="52" t="inlineStr">
        <is>
          <t>Returns TRUE if the number is odd</t>
        </is>
      </c>
      <c r="D6" s="2">
        <f>D5+D4</f>
        <v/>
      </c>
      <c r="E6" s="2">
        <f>ISBLANK($D6)</f>
        <v/>
      </c>
      <c r="F6" s="2">
        <f>ISERR($D6)</f>
        <v/>
      </c>
      <c r="G6" s="2">
        <f>ISERROR($D6)</f>
        <v/>
      </c>
      <c r="H6" s="2">
        <f>ISEVEN($D6)</f>
        <v/>
      </c>
      <c r="I6" s="2">
        <f>ISODD($D6)</f>
        <v/>
      </c>
      <c r="J6" s="2">
        <f>_xlfn.ISFORMULA($D6)</f>
        <v/>
      </c>
      <c r="K6" s="2">
        <f>ISLOGICAL($D6)</f>
        <v/>
      </c>
      <c r="L6" s="2">
        <f>ISNA($D6)</f>
        <v/>
      </c>
      <c r="M6" s="2">
        <f>ISTEXT($D6)</f>
        <v/>
      </c>
      <c r="N6" s="2">
        <f>ISNONTEXT($D6)</f>
        <v/>
      </c>
      <c r="O6" s="2">
        <f>ISNUMBER($D6)</f>
        <v/>
      </c>
      <c r="P6" s="2">
        <f>ISREF($D6)</f>
        <v/>
      </c>
      <c r="Q6" s="2">
        <f>TYPE($D6)</f>
        <v/>
      </c>
    </row>
    <row r="7">
      <c r="A7" s="51" t="inlineStr">
        <is>
          <t>ISFORMULA</t>
        </is>
      </c>
      <c r="B7" s="52" t="inlineStr">
        <is>
          <t>Returns TRUE if there is a reference to a cell that contains a formula</t>
        </is>
      </c>
      <c r="D7" s="2" t="inlineStr">
        <is>
          <t>bmn</t>
        </is>
      </c>
      <c r="E7" s="2">
        <f>ISBLANK($D7)</f>
        <v/>
      </c>
      <c r="F7" s="2">
        <f>ISERR($D7)</f>
        <v/>
      </c>
      <c r="G7" s="2">
        <f>ISERROR($D7)</f>
        <v/>
      </c>
      <c r="H7" s="2">
        <f>ISEVEN($D7)</f>
        <v/>
      </c>
      <c r="I7" s="2">
        <f>ISODD($D7)</f>
        <v/>
      </c>
      <c r="J7" s="2">
        <f>_xlfn.ISFORMULA($D7)</f>
        <v/>
      </c>
      <c r="K7" s="2">
        <f>ISLOGICAL($D7)</f>
        <v/>
      </c>
      <c r="L7" s="2">
        <f>ISNA($D7)</f>
        <v/>
      </c>
      <c r="M7" s="2">
        <f>ISTEXT($D7)</f>
        <v/>
      </c>
      <c r="N7" s="2">
        <f>ISNONTEXT($D7)</f>
        <v/>
      </c>
      <c r="O7" s="2">
        <f>ISNUMBER($D7)</f>
        <v/>
      </c>
      <c r="P7" s="2">
        <f>ISREF($D7)</f>
        <v/>
      </c>
      <c r="Q7" s="2">
        <f>TYPE($D7)</f>
        <v/>
      </c>
    </row>
    <row r="8">
      <c r="A8" s="51" t="inlineStr">
        <is>
          <t>ISLOGICAL</t>
        </is>
      </c>
      <c r="B8" s="52" t="inlineStr">
        <is>
          <t>Returns TRUE if the value is a logical value</t>
        </is>
      </c>
      <c r="D8" s="2" t="e">
        <v>#N/A</v>
      </c>
      <c r="E8" s="2">
        <f>ISBLANK($D8)</f>
        <v/>
      </c>
      <c r="F8" s="2">
        <f>ISERR($D8)</f>
        <v/>
      </c>
      <c r="G8" s="2">
        <f>ISERROR($D8)</f>
        <v/>
      </c>
      <c r="H8" s="2">
        <f>ISEVEN($D8)</f>
        <v/>
      </c>
      <c r="I8" s="2">
        <f>ISODD($D8)</f>
        <v/>
      </c>
      <c r="J8" s="2">
        <f>_xlfn.ISFORMULA($D8)</f>
        <v/>
      </c>
      <c r="K8" s="2">
        <f>ISLOGICAL($D8)</f>
        <v/>
      </c>
      <c r="L8" s="2">
        <f>ISNA($D8)</f>
        <v/>
      </c>
      <c r="M8" s="2">
        <f>ISTEXT($D8)</f>
        <v/>
      </c>
      <c r="N8" s="2">
        <f>ISNONTEXT($D8)</f>
        <v/>
      </c>
      <c r="O8" s="2">
        <f>ISNUMBER($D8)</f>
        <v/>
      </c>
      <c r="P8" s="2">
        <f>ISREF($D8)</f>
        <v/>
      </c>
      <c r="Q8" s="2">
        <f>TYPE($D8)</f>
        <v/>
      </c>
    </row>
    <row r="9">
      <c r="A9" s="51" t="inlineStr">
        <is>
          <t>ISNA</t>
        </is>
      </c>
      <c r="B9" s="52" t="inlineStr">
        <is>
          <t>Returns TRUE if the value is the #N/A error value</t>
        </is>
      </c>
      <c r="D9" s="2" t="n"/>
      <c r="E9" s="2">
        <f>ISBLANK($D9)</f>
        <v/>
      </c>
      <c r="F9" s="2">
        <f>ISERR($D9)</f>
        <v/>
      </c>
      <c r="G9" s="2">
        <f>ISERROR($D9)</f>
        <v/>
      </c>
      <c r="H9" s="2">
        <f>ISEVEN($D9)</f>
        <v/>
      </c>
      <c r="I9" s="2">
        <f>ISODD($D9)</f>
        <v/>
      </c>
      <c r="J9" s="2">
        <f>_xlfn.ISFORMULA($D9)</f>
        <v/>
      </c>
      <c r="K9" s="2">
        <f>ISLOGICAL($D9)</f>
        <v/>
      </c>
      <c r="L9" s="2">
        <f>ISNA($D9)</f>
        <v/>
      </c>
      <c r="M9" s="2">
        <f>ISTEXT($D9)</f>
        <v/>
      </c>
      <c r="N9" s="2">
        <f>ISNONTEXT($D9)</f>
        <v/>
      </c>
      <c r="O9" s="2">
        <f>ISNUMBER($D9)</f>
        <v/>
      </c>
      <c r="P9" s="2">
        <f>ISREF($D9)</f>
        <v/>
      </c>
      <c r="Q9" s="2">
        <f>TYPE($D9)</f>
        <v/>
      </c>
    </row>
    <row r="10">
      <c r="A10" s="51" t="inlineStr">
        <is>
          <t>ISTEXT</t>
        </is>
      </c>
      <c r="B10" s="52" t="inlineStr">
        <is>
          <t>Returns TRUE if the value is text</t>
        </is>
      </c>
      <c r="D10" s="2" t="e">
        <v>#NAME?</v>
      </c>
      <c r="E10" s="2">
        <f>ISBLANK($D10)</f>
        <v/>
      </c>
      <c r="F10" s="2">
        <f>ISERR($D10)</f>
        <v/>
      </c>
      <c r="G10" s="2">
        <f>ISERROR($D10)</f>
        <v/>
      </c>
      <c r="H10" s="2">
        <f>ISEVEN($D10)</f>
        <v/>
      </c>
      <c r="I10" s="2">
        <f>ISODD($D10)</f>
        <v/>
      </c>
      <c r="J10" s="2">
        <f>_xlfn.ISFORMULA($D10)</f>
        <v/>
      </c>
      <c r="K10" s="2">
        <f>ISLOGICAL($D10)</f>
        <v/>
      </c>
      <c r="L10" s="2">
        <f>ISNA($D10)</f>
        <v/>
      </c>
      <c r="M10" s="2">
        <f>ISTEXT($D10)</f>
        <v/>
      </c>
      <c r="N10" s="2">
        <f>ISNONTEXT($D10)</f>
        <v/>
      </c>
      <c r="O10" s="2">
        <f>ISNUMBER($D10)</f>
        <v/>
      </c>
      <c r="P10" s="2">
        <f>ISREF($D10)</f>
        <v/>
      </c>
      <c r="Q10" s="2">
        <f>TYPE($D10)</f>
        <v/>
      </c>
    </row>
    <row r="11">
      <c r="A11" s="51" t="inlineStr">
        <is>
          <t>ISNONTEXT</t>
        </is>
      </c>
      <c r="B11" s="52" t="inlineStr">
        <is>
          <t>Returns TRUE if the value is not text</t>
        </is>
      </c>
      <c r="D11" s="2" t="b">
        <v>1</v>
      </c>
      <c r="E11" s="2">
        <f>ISBLANK($D11)</f>
        <v/>
      </c>
      <c r="F11" s="2">
        <f>ISERR($D11)</f>
        <v/>
      </c>
      <c r="G11" s="2">
        <f>ISERROR($D11)</f>
        <v/>
      </c>
      <c r="H11" s="2">
        <f>ISEVEN($D11)</f>
        <v/>
      </c>
      <c r="I11" s="2">
        <f>ISODD($D11)</f>
        <v/>
      </c>
      <c r="J11" s="2">
        <f>_xlfn.ISFORMULA($D11)</f>
        <v/>
      </c>
      <c r="K11" s="2">
        <f>ISLOGICAL($D11)</f>
        <v/>
      </c>
      <c r="L11" s="2">
        <f>ISNA($D11)</f>
        <v/>
      </c>
      <c r="M11" s="2">
        <f>ISTEXT($D11)</f>
        <v/>
      </c>
      <c r="N11" s="2">
        <f>ISNONTEXT($D11)</f>
        <v/>
      </c>
      <c r="O11" s="2">
        <f>ISNUMBER($D11)</f>
        <v/>
      </c>
      <c r="P11" s="2">
        <f>ISREF($D11)</f>
        <v/>
      </c>
      <c r="Q11" s="2">
        <f>TYPE($D11)</f>
        <v/>
      </c>
    </row>
    <row r="12">
      <c r="A12" s="51" t="inlineStr">
        <is>
          <t>ISNUMBER</t>
        </is>
      </c>
      <c r="B12" s="52" t="inlineStr">
        <is>
          <t>Returns TRUE if the value is a number</t>
        </is>
      </c>
      <c r="D12" s="2" t="b">
        <v>0</v>
      </c>
      <c r="E12" s="2">
        <f>ISBLANK($D12)</f>
        <v/>
      </c>
      <c r="F12" s="2">
        <f>ISERR($D12)</f>
        <v/>
      </c>
      <c r="G12" s="2">
        <f>ISERROR($D12)</f>
        <v/>
      </c>
      <c r="H12" s="2">
        <f>ISEVEN($D12)</f>
        <v/>
      </c>
      <c r="I12" s="2">
        <f>ISODD($D12)</f>
        <v/>
      </c>
      <c r="J12" s="2">
        <f>_xlfn.ISFORMULA($D12)</f>
        <v/>
      </c>
      <c r="K12" s="2">
        <f>ISLOGICAL($D12)</f>
        <v/>
      </c>
      <c r="L12" s="2">
        <f>ISNA($D12)</f>
        <v/>
      </c>
      <c r="M12" s="2">
        <f>ISTEXT($D12)</f>
        <v/>
      </c>
      <c r="N12" s="2">
        <f>ISNONTEXT($D12)</f>
        <v/>
      </c>
      <c r="O12" s="2">
        <f>ISNUMBER($D12)</f>
        <v/>
      </c>
      <c r="P12" s="2">
        <f>ISREF($D12)</f>
        <v/>
      </c>
      <c r="Q12" s="2">
        <f>TYPE($D12)</f>
        <v/>
      </c>
    </row>
    <row r="13">
      <c r="A13" s="51" t="inlineStr">
        <is>
          <t>ISREF</t>
        </is>
      </c>
      <c r="B13" s="52" t="inlineStr">
        <is>
          <t>Returns TRUE if the value is a reference</t>
        </is>
      </c>
      <c r="D13" s="2">
        <f>ADDRESS(1,1)</f>
        <v/>
      </c>
      <c r="E13" s="2">
        <f>ISBLANK($D13)</f>
        <v/>
      </c>
      <c r="F13" s="2">
        <f>ISERR($D13)</f>
        <v/>
      </c>
      <c r="G13" s="2">
        <f>ISERROR($D13)</f>
        <v/>
      </c>
      <c r="H13" s="2">
        <f>ISEVEN($D13)</f>
        <v/>
      </c>
      <c r="I13" s="2">
        <f>ISODD($D13)</f>
        <v/>
      </c>
      <c r="J13" s="2">
        <f>_xlfn.ISFORMULA($D13)</f>
        <v/>
      </c>
      <c r="K13" s="2">
        <f>ISLOGICAL($D13)</f>
        <v/>
      </c>
      <c r="L13" s="2">
        <f>ISNA($D13)</f>
        <v/>
      </c>
      <c r="M13" s="2">
        <f>ISTEXT($D13)</f>
        <v/>
      </c>
      <c r="N13" s="2">
        <f>ISNONTEXT($D13)</f>
        <v/>
      </c>
      <c r="O13" s="2">
        <f>ISNUMBER($D13)</f>
        <v/>
      </c>
      <c r="P13" s="2">
        <f>ISREF($D13)</f>
        <v/>
      </c>
      <c r="Q13" s="2">
        <f>TYPE($D13)</f>
        <v/>
      </c>
    </row>
    <row r="14" ht="15" customHeight="1">
      <c r="A14" s="51" t="inlineStr">
        <is>
          <t>TYPE</t>
        </is>
      </c>
      <c r="B14" s="54" t="inlineStr">
        <is>
          <t>Returns a number indicating the data type of a value:</t>
        </is>
      </c>
      <c r="D14" s="55" t="n">
        <v>44155</v>
      </c>
      <c r="E14" s="2">
        <f>ISBLANK($D14)</f>
        <v/>
      </c>
      <c r="F14" s="2">
        <f>ISERR($D14)</f>
        <v/>
      </c>
      <c r="G14" s="2">
        <f>ISERROR($D14)</f>
        <v/>
      </c>
      <c r="H14" s="2">
        <f>ISEVEN($D14)</f>
        <v/>
      </c>
      <c r="I14" s="2">
        <f>ISODD($D14)</f>
        <v/>
      </c>
      <c r="J14" s="2">
        <f>_xlfn.ISFORMULA($D14)</f>
        <v/>
      </c>
      <c r="K14" s="2">
        <f>ISLOGICAL($D14)</f>
        <v/>
      </c>
      <c r="L14" s="2">
        <f>ISNA($D14)</f>
        <v/>
      </c>
      <c r="M14" s="2">
        <f>ISTEXT($D14)</f>
        <v/>
      </c>
      <c r="N14" s="2">
        <f>ISNONTEXT($D14)</f>
        <v/>
      </c>
      <c r="O14" s="2">
        <f>ISNUMBER($D14)</f>
        <v/>
      </c>
      <c r="P14" s="2">
        <f>ISREF($D14)</f>
        <v/>
      </c>
      <c r="Q14" s="2">
        <f>TYPE($D14)</f>
        <v/>
      </c>
    </row>
    <row r="15" ht="15" customHeight="1">
      <c r="A15" s="56" t="n">
        <v>1</v>
      </c>
      <c r="B15" s="57" t="inlineStr">
        <is>
          <t>Number</t>
        </is>
      </c>
    </row>
    <row r="16" ht="15" customHeight="1">
      <c r="A16" s="56" t="n">
        <v>2</v>
      </c>
      <c r="B16" s="57" t="inlineStr">
        <is>
          <t>Text</t>
        </is>
      </c>
    </row>
    <row r="17" ht="15" customHeight="1">
      <c r="A17" s="56" t="n">
        <v>4</v>
      </c>
      <c r="B17" s="57" t="inlineStr">
        <is>
          <t>Logical Value</t>
        </is>
      </c>
    </row>
    <row r="18" ht="15" customHeight="1">
      <c r="A18" s="56" t="n">
        <v>16</v>
      </c>
      <c r="B18" s="57" t="inlineStr">
        <is>
          <t>Error Value</t>
        </is>
      </c>
    </row>
    <row r="19" ht="16" customHeight="1" thickBot="1">
      <c r="A19" s="58" t="n">
        <v>64</v>
      </c>
      <c r="B19" s="59" t="inlineStr">
        <is>
          <t>Array</t>
        </is>
      </c>
    </row>
    <row r="20">
      <c r="C20" s="60" t="inlineStr">
        <is>
          <t>Highlight ODD values with Red and EVEN values with green</t>
        </is>
      </c>
      <c r="D20" s="60" t="n"/>
      <c r="E20" s="60" t="n"/>
      <c r="F20" s="60" t="n"/>
      <c r="G20" s="60" t="n"/>
      <c r="H20" s="60" t="n"/>
      <c r="I20" s="60" t="n"/>
      <c r="J20" s="60" t="n"/>
    </row>
    <row r="22">
      <c r="C22" s="243" t="n">
        <v>39</v>
      </c>
      <c r="D22" s="243" t="n">
        <v>18</v>
      </c>
      <c r="E22" s="243" t="n">
        <v>39</v>
      </c>
      <c r="F22" s="243" t="n">
        <v>59</v>
      </c>
      <c r="G22" s="243" t="n">
        <v>30</v>
      </c>
      <c r="H22" s="243" t="n">
        <v>22</v>
      </c>
      <c r="I22" s="243" t="n">
        <v>55</v>
      </c>
      <c r="J22" s="243" t="n">
        <v>96</v>
      </c>
    </row>
    <row r="23">
      <c r="C23" s="243" t="n">
        <v>75</v>
      </c>
      <c r="D23" s="243" t="n">
        <v>77</v>
      </c>
      <c r="E23" s="243" t="n">
        <v>21</v>
      </c>
      <c r="F23" s="243" t="n">
        <v>22</v>
      </c>
      <c r="G23" s="243" t="n">
        <v>81</v>
      </c>
      <c r="H23" s="243" t="n">
        <v>52</v>
      </c>
      <c r="I23" s="243" t="n">
        <v>18</v>
      </c>
      <c r="J23" s="243" t="n">
        <v>80</v>
      </c>
    </row>
    <row r="24">
      <c r="C24" s="243" t="n">
        <v>5</v>
      </c>
      <c r="D24" s="243" t="n">
        <v>23</v>
      </c>
      <c r="E24" s="243" t="n">
        <v>24</v>
      </c>
      <c r="F24" s="243" t="n">
        <v>85</v>
      </c>
      <c r="G24" s="243" t="n">
        <v>52</v>
      </c>
      <c r="H24" s="243" t="n">
        <v>10</v>
      </c>
      <c r="I24" s="243" t="n">
        <v>10</v>
      </c>
      <c r="J24" s="243" t="n">
        <v>4</v>
      </c>
    </row>
    <row r="25">
      <c r="C25" s="243" t="n">
        <v>86</v>
      </c>
      <c r="D25" s="243" t="n">
        <v>100</v>
      </c>
      <c r="E25" s="243" t="n">
        <v>83</v>
      </c>
      <c r="F25" s="243" t="n">
        <v>60</v>
      </c>
      <c r="G25" s="243" t="n">
        <v>26</v>
      </c>
      <c r="H25" s="243" t="n">
        <v>83</v>
      </c>
      <c r="I25" s="243" t="n">
        <v>91</v>
      </c>
      <c r="J25" s="243" t="n">
        <v>56</v>
      </c>
    </row>
    <row r="26">
      <c r="C26" s="243" t="n">
        <v>88</v>
      </c>
      <c r="D26" s="243" t="n">
        <v>77</v>
      </c>
      <c r="E26" s="243" t="n">
        <v>45</v>
      </c>
      <c r="F26" s="243" t="n">
        <v>25</v>
      </c>
      <c r="G26" s="243" t="n">
        <v>12</v>
      </c>
      <c r="H26" s="243" t="n">
        <v>45</v>
      </c>
      <c r="I26" s="243" t="n">
        <v>66</v>
      </c>
      <c r="J26" s="243" t="n">
        <v>59</v>
      </c>
    </row>
    <row r="27">
      <c r="C27" s="243" t="n">
        <v>66</v>
      </c>
      <c r="D27" s="243" t="n">
        <v>62</v>
      </c>
      <c r="E27" s="243" t="n">
        <v>51</v>
      </c>
      <c r="F27" s="243" t="n">
        <v>96</v>
      </c>
      <c r="G27" s="243" t="n">
        <v>78</v>
      </c>
      <c r="H27" s="243" t="n">
        <v>73</v>
      </c>
      <c r="I27" s="243" t="n">
        <v>39</v>
      </c>
      <c r="J27" s="243" t="n">
        <v>79</v>
      </c>
    </row>
    <row r="28">
      <c r="C28" s="243" t="n">
        <v>92</v>
      </c>
      <c r="D28" s="243" t="n">
        <v>61</v>
      </c>
      <c r="E28" s="243" t="n">
        <v>53</v>
      </c>
      <c r="F28" s="243" t="n">
        <v>49</v>
      </c>
      <c r="G28" s="243" t="n">
        <v>99</v>
      </c>
      <c r="H28" s="243" t="n">
        <v>72</v>
      </c>
      <c r="I28" s="243" t="n">
        <v>56</v>
      </c>
      <c r="J28" s="243" t="n">
        <v>95</v>
      </c>
    </row>
    <row r="29">
      <c r="C29" s="243" t="n">
        <v>31</v>
      </c>
      <c r="D29" s="243" t="n">
        <v>68</v>
      </c>
      <c r="E29" s="243" t="n">
        <v>88</v>
      </c>
      <c r="F29" s="243" t="n">
        <v>35</v>
      </c>
      <c r="G29" s="243" t="n">
        <v>2</v>
      </c>
      <c r="H29" s="243" t="n">
        <v>50</v>
      </c>
      <c r="I29" s="243" t="n">
        <v>19</v>
      </c>
      <c r="J29" s="243" t="n">
        <v>32</v>
      </c>
    </row>
  </sheetData>
  <conditionalFormatting sqref="E4:P14">
    <cfRule type="expression" priority="1" dxfId="0">
      <formula>E4=TRUE</formula>
    </cfRule>
  </conditionalFormatting>
  <conditionalFormatting sqref="C22:J29">
    <cfRule type="expression" priority="2" dxfId="3">
      <formula>MOD(C22,2)=1</formula>
    </cfRule>
    <cfRule type="expression" priority="3" dxfId="4">
      <formula>MOD(C22,2)=0</formula>
    </cfRule>
  </conditionalFormatting>
  <pageMargins left="0.7" right="0.7" top="0.75" bottom="0.75" header="0.3" footer="0.3"/>
</worksheet>
</file>

<file path=xl/worksheets/sheet5.xml><?xml version="1.0" encoding="utf-8"?>
<worksheet xmlns="http://schemas.openxmlformats.org/spreadsheetml/2006/main">
  <sheetPr>
    <tabColor theme="7"/>
    <outlinePr summaryBelow="1" summaryRight="1"/>
    <pageSetUpPr/>
  </sheetPr>
  <dimension ref="A1:N62"/>
  <sheetViews>
    <sheetView tabSelected="1" topLeftCell="A29" workbookViewId="0">
      <selection activeCell="H30" sqref="H30"/>
    </sheetView>
  </sheetViews>
  <sheetFormatPr baseColWidth="10" defaultColWidth="8.83203125" defaultRowHeight="14"/>
  <cols>
    <col width="18.5" customWidth="1" style="1" min="1" max="1"/>
    <col width="14.33203125" customWidth="1" style="1" min="2" max="2"/>
    <col width="14" customWidth="1" style="1" min="3" max="3"/>
    <col width="15" customWidth="1" style="1" min="4" max="4"/>
    <col width="9.1640625" customWidth="1" style="1" min="5" max="5"/>
    <col width="22.6640625" customWidth="1" style="1" min="6" max="6"/>
    <col width="13.33203125" customWidth="1" style="1" min="7" max="7"/>
    <col width="13.5" customWidth="1" style="1" min="8" max="8"/>
    <col width="11" customWidth="1" style="1" min="9" max="9"/>
    <col width="10.5" customWidth="1" style="1" min="10" max="10"/>
    <col width="4.6640625" customWidth="1" style="1" min="11" max="11"/>
    <col width="16.5" customWidth="1" style="1" min="12" max="12"/>
    <col width="8.83203125" customWidth="1" style="1" min="13" max="13"/>
    <col width="12.5" customWidth="1" style="1" min="14" max="14"/>
    <col width="8.83203125" customWidth="1" style="1" min="15" max="16384"/>
  </cols>
  <sheetData>
    <row r="1">
      <c r="A1" s="50" t="inlineStr">
        <is>
          <t>Find total monthly sales. Use IF to check out whether it was a growth or a decline month to month.</t>
        </is>
      </c>
    </row>
    <row r="3" ht="15" customHeight="1" thickBot="1">
      <c r="E3" s="160" t="inlineStr">
        <is>
          <t>Tip:  try Alt+=</t>
        </is>
      </c>
      <c r="I3" s="167" t="inlineStr">
        <is>
          <t>Total number of growth months</t>
        </is>
      </c>
    </row>
    <row r="4" ht="15" customHeight="1" thickBot="1">
      <c r="A4" s="168" t="inlineStr">
        <is>
          <t>Month</t>
        </is>
      </c>
      <c r="B4" s="169" t="inlineStr">
        <is>
          <t>Retail</t>
        </is>
      </c>
      <c r="C4" s="169" t="inlineStr">
        <is>
          <t>Online</t>
        </is>
      </c>
      <c r="D4" s="169" t="inlineStr">
        <is>
          <t>Vendor</t>
        </is>
      </c>
      <c r="E4" s="169" t="inlineStr">
        <is>
          <t>Total</t>
        </is>
      </c>
      <c r="F4" s="169" t="inlineStr">
        <is>
          <t>Growth/Decline</t>
        </is>
      </c>
      <c r="I4" s="212">
        <f>COUNTIF(F5:F16,"Growth")</f>
        <v/>
      </c>
    </row>
    <row r="5">
      <c r="A5" s="171" t="inlineStr">
        <is>
          <t>January</t>
        </is>
      </c>
      <c r="B5" s="172" t="n">
        <v>125000</v>
      </c>
      <c r="C5" s="172" t="n">
        <v>110000</v>
      </c>
      <c r="D5" s="172" t="n">
        <v>95000</v>
      </c>
      <c r="E5" s="173">
        <f>SUM(B5:D5)</f>
        <v/>
      </c>
      <c r="F5" s="170" t="inlineStr">
        <is>
          <t>-</t>
        </is>
      </c>
      <c r="H5" s="174" t="n"/>
    </row>
    <row r="6">
      <c r="A6" s="171" t="inlineStr">
        <is>
          <t>February</t>
        </is>
      </c>
      <c r="B6" s="172" t="n">
        <v>93000</v>
      </c>
      <c r="C6" s="172" t="n">
        <v>145000</v>
      </c>
      <c r="D6" s="172" t="n">
        <v>67000</v>
      </c>
      <c r="E6" s="173">
        <f>SUM(B6:D6)</f>
        <v/>
      </c>
      <c r="F6" s="170">
        <f>IF(E6&gt;E5,"Growth","Decline")</f>
        <v/>
      </c>
      <c r="H6" s="174" t="n"/>
    </row>
    <row r="7">
      <c r="A7" s="171" t="inlineStr">
        <is>
          <t>March</t>
        </is>
      </c>
      <c r="B7" s="172" t="n">
        <v>80000</v>
      </c>
      <c r="C7" s="172" t="n">
        <v>132000</v>
      </c>
      <c r="D7" s="172" t="n">
        <v>75000</v>
      </c>
      <c r="E7" s="173">
        <f>SUM(B7:D7)</f>
        <v/>
      </c>
      <c r="F7" s="170">
        <f>IF(E7&gt;E6,"Growth","Decline")</f>
        <v/>
      </c>
      <c r="H7" s="174" t="n"/>
    </row>
    <row r="8">
      <c r="A8" s="171" t="inlineStr">
        <is>
          <t>April</t>
        </is>
      </c>
      <c r="B8" s="172" t="n">
        <v>75000</v>
      </c>
      <c r="C8" s="172" t="n">
        <v>110000</v>
      </c>
      <c r="D8" s="172" t="n">
        <v>80000</v>
      </c>
      <c r="E8" s="173">
        <f>SUM(B8:D8)</f>
        <v/>
      </c>
      <c r="F8" s="170">
        <f>IF(E8&gt;E7,"Growth","Decline")</f>
        <v/>
      </c>
      <c r="H8" s="174" t="n"/>
    </row>
    <row r="9">
      <c r="A9" s="171" t="inlineStr">
        <is>
          <t>May</t>
        </is>
      </c>
      <c r="B9" s="172" t="n">
        <v>84000</v>
      </c>
      <c r="C9" s="172" t="n">
        <v>117000</v>
      </c>
      <c r="D9" s="172" t="n">
        <v>83000</v>
      </c>
      <c r="E9" s="173">
        <f>SUM(B9:D9)</f>
        <v/>
      </c>
      <c r="F9" s="170">
        <f>IF(E9&gt;E8,"Growth","Decline")</f>
        <v/>
      </c>
      <c r="H9" s="174" t="n"/>
    </row>
    <row r="10">
      <c r="A10" s="171" t="inlineStr">
        <is>
          <t>June</t>
        </is>
      </c>
      <c r="B10" s="172" t="n">
        <v>110000</v>
      </c>
      <c r="C10" s="172" t="n">
        <v>120000</v>
      </c>
      <c r="D10" s="172" t="n">
        <v>90000</v>
      </c>
      <c r="E10" s="173">
        <f>SUM(B10:D10)</f>
        <v/>
      </c>
      <c r="F10" s="170">
        <f>IF(E10&gt;E9,"Growth","Decline")</f>
        <v/>
      </c>
      <c r="H10" s="174" t="n"/>
    </row>
    <row r="11">
      <c r="A11" s="171" t="inlineStr">
        <is>
          <t>July</t>
        </is>
      </c>
      <c r="B11" s="172" t="n">
        <v>105000</v>
      </c>
      <c r="C11" s="172" t="n">
        <v>126000</v>
      </c>
      <c r="D11" s="172" t="n">
        <v>75000</v>
      </c>
      <c r="E11" s="173">
        <f>SUM(B11:D11)</f>
        <v/>
      </c>
      <c r="F11" s="170">
        <f>IF(E11&gt;E10,"Growth","Decline")</f>
        <v/>
      </c>
      <c r="H11" s="174" t="n"/>
    </row>
    <row r="12">
      <c r="A12" s="171" t="inlineStr">
        <is>
          <t>August</t>
        </is>
      </c>
      <c r="B12" s="172" t="n">
        <v>120000</v>
      </c>
      <c r="C12" s="172" t="n">
        <v>124000</v>
      </c>
      <c r="D12" s="172" t="n">
        <v>78000</v>
      </c>
      <c r="E12" s="173">
        <f>SUM(B12:D12)</f>
        <v/>
      </c>
      <c r="F12" s="170">
        <f>IF(E12&gt;E11,"Growth","Decline")</f>
        <v/>
      </c>
      <c r="H12" s="174" t="n"/>
    </row>
    <row r="13">
      <c r="A13" s="171" t="inlineStr">
        <is>
          <t>September</t>
        </is>
      </c>
      <c r="B13" s="172" t="n">
        <v>90000</v>
      </c>
      <c r="C13" s="172" t="n">
        <v>132000</v>
      </c>
      <c r="D13" s="172" t="n">
        <v>98000</v>
      </c>
      <c r="E13" s="173">
        <f>SUM(B13:D13)</f>
        <v/>
      </c>
      <c r="F13" s="170">
        <f>IF(E13&gt;E12,"Growth","Decline")</f>
        <v/>
      </c>
      <c r="H13" s="174" t="n"/>
    </row>
    <row r="14">
      <c r="A14" s="171" t="inlineStr">
        <is>
          <t>October</t>
        </is>
      </c>
      <c r="B14" s="172" t="n">
        <v>115000</v>
      </c>
      <c r="C14" s="172" t="n">
        <v>135000</v>
      </c>
      <c r="D14" s="172" t="n">
        <v>82000</v>
      </c>
      <c r="E14" s="173">
        <f>SUM(B14:D14)</f>
        <v/>
      </c>
      <c r="F14" s="170">
        <f>IF(E14&gt;E13,"Growth","Decline")</f>
        <v/>
      </c>
      <c r="H14" s="174" t="n"/>
    </row>
    <row r="15">
      <c r="A15" s="171" t="inlineStr">
        <is>
          <t>November</t>
        </is>
      </c>
      <c r="B15" s="172" t="n">
        <v>123000</v>
      </c>
      <c r="C15" s="172" t="n">
        <v>152000</v>
      </c>
      <c r="D15" s="172" t="n">
        <v>95000</v>
      </c>
      <c r="E15" s="173">
        <f>SUM(B15:D15)</f>
        <v/>
      </c>
      <c r="F15" s="170">
        <f>IF(E15&gt;E14,"Growth","Decline")</f>
        <v/>
      </c>
      <c r="H15" s="174" t="n"/>
    </row>
    <row r="16">
      <c r="A16" s="171" t="inlineStr">
        <is>
          <t>December</t>
        </is>
      </c>
      <c r="B16" s="172" t="n">
        <v>150000</v>
      </c>
      <c r="C16" s="172" t="n">
        <v>163000</v>
      </c>
      <c r="D16" s="172" t="n">
        <v>110000</v>
      </c>
      <c r="E16" s="173">
        <f>SUM(B16:D16)</f>
        <v/>
      </c>
      <c r="F16" s="170">
        <f>IF(E16&gt;E15,"Growth","Decline")</f>
        <v/>
      </c>
      <c r="H16" s="174" t="n"/>
    </row>
    <row r="19">
      <c r="A19" s="175" t="inlineStr">
        <is>
          <t>Provide a grade in a text format according to the given table (nested IF)</t>
        </is>
      </c>
    </row>
    <row r="21" ht="61" customHeight="1" thickBot="1">
      <c r="B21" s="176" t="inlineStr">
        <is>
          <t>Grade numeric</t>
        </is>
      </c>
      <c r="C21" s="176" t="inlineStr">
        <is>
          <t>Grade text</t>
        </is>
      </c>
      <c r="D21" s="177" t="inlineStr">
        <is>
          <t>Is the best student? (Yes / No)
Using formula</t>
        </is>
      </c>
      <c r="F21" s="50" t="inlineStr">
        <is>
          <t>Grading table</t>
        </is>
      </c>
    </row>
    <row r="22">
      <c r="A22" s="165" t="inlineStr">
        <is>
          <t>Alex</t>
        </is>
      </c>
      <c r="B22" s="178" t="n">
        <v>3</v>
      </c>
      <c r="C22" s="179">
        <f>IF(B22&gt;=8,"Excellent",IF(B22&gt;=6,"Good",IF(B22&gt;=4,"Satisfactory","Unsatisfactory")))</f>
        <v/>
      </c>
      <c r="D22" s="179">
        <f>IF(B22=MAX($B$22:$B$32),"Yes","No")</f>
        <v/>
      </c>
      <c r="F22" s="2" t="n">
        <v>10</v>
      </c>
      <c r="G22" s="243" t="inlineStr">
        <is>
          <t>Excellent</t>
        </is>
      </c>
    </row>
    <row r="23">
      <c r="A23" s="165" t="inlineStr">
        <is>
          <t>Peter</t>
        </is>
      </c>
      <c r="B23" s="178" t="n">
        <v>2</v>
      </c>
      <c r="C23" s="179">
        <f>IF(B23&gt;=8,"Excellent",IF(B23&gt;=6,"Good",IF(B23&gt;=4,"Satisfactory","Unsatisfactory")))</f>
        <v/>
      </c>
      <c r="D23" s="179">
        <f>IF(B23=MAX($B$22:$B$32),"Yes","No")</f>
        <v/>
      </c>
      <c r="F23" s="2" t="n">
        <v>9</v>
      </c>
      <c r="G23" s="309" t="n"/>
    </row>
    <row r="24">
      <c r="A24" s="165" t="inlineStr">
        <is>
          <t>Sandy</t>
        </is>
      </c>
      <c r="B24" s="178" t="n">
        <v>1</v>
      </c>
      <c r="C24" s="179">
        <f>IF(B24&gt;=8,"Excellent",IF(B24&gt;=6,"Good",IF(B24&gt;=4,"Satisfactory","Unsatisfactory")))</f>
        <v/>
      </c>
      <c r="D24" s="179">
        <f>IF(B24=MAX($B$22:$B$32),"Yes","No")</f>
        <v/>
      </c>
      <c r="F24" s="2" t="n">
        <v>8</v>
      </c>
      <c r="G24" s="310" t="n"/>
    </row>
    <row r="25">
      <c r="A25" s="165" t="inlineStr">
        <is>
          <t>Mickhael</t>
        </is>
      </c>
      <c r="B25" s="178" t="n">
        <v>1</v>
      </c>
      <c r="C25" s="179">
        <f>IF(B25&gt;=8,"Excellent",IF(B25&gt;=6,"Good",IF(B25&gt;=4,"Satisfactory","Unsatisfactory")))</f>
        <v/>
      </c>
      <c r="D25" s="179">
        <f>IF(B25=MAX($B$22:$B$32),"Yes","No")</f>
        <v/>
      </c>
      <c r="F25" s="2" t="n">
        <v>7</v>
      </c>
      <c r="G25" s="243" t="inlineStr">
        <is>
          <t>Good</t>
        </is>
      </c>
    </row>
    <row r="26">
      <c r="A26" s="165" t="inlineStr">
        <is>
          <t>Paul</t>
        </is>
      </c>
      <c r="B26" s="178" t="n">
        <v>6</v>
      </c>
      <c r="C26" s="179">
        <f>IF(B26&gt;=8,"Excellent",IF(B26&gt;=6,"Good",IF(B26&gt;=4,"Satisfactory","Unsatisfactory")))</f>
        <v/>
      </c>
      <c r="D26" s="179">
        <f>IF(B26=MAX($B$22:$B$32),"Yes","No")</f>
        <v/>
      </c>
      <c r="F26" s="2" t="n">
        <v>6</v>
      </c>
      <c r="G26" s="310" t="n"/>
    </row>
    <row r="27">
      <c r="A27" s="165" t="inlineStr">
        <is>
          <t>Catherine</t>
        </is>
      </c>
      <c r="B27" s="178" t="n">
        <v>7</v>
      </c>
      <c r="C27" s="179">
        <f>IF(B27&gt;=8,"Excellent",IF(B27&gt;=6,"Good",IF(B27&gt;=4,"Satisfactory","Unsatisfactory")))</f>
        <v/>
      </c>
      <c r="D27" s="179">
        <f>IF(B27=MAX($B$22:$B$32),"Yes","No")</f>
        <v/>
      </c>
      <c r="F27" s="2" t="n">
        <v>5</v>
      </c>
      <c r="G27" s="243" t="inlineStr">
        <is>
          <t>Saisfactory</t>
        </is>
      </c>
    </row>
    <row r="28">
      <c r="A28" s="165" t="inlineStr">
        <is>
          <t>Stan</t>
        </is>
      </c>
      <c r="B28" s="178" t="n">
        <v>6</v>
      </c>
      <c r="C28" s="179">
        <f>IF(B28&gt;=8,"Excellent",IF(B28&gt;=6,"Good",IF(B28&gt;=4,"Satisfactory","Unsatisfactory")))</f>
        <v/>
      </c>
      <c r="D28" s="179">
        <f>IF(B28=MAX($B$22:$B$32),"Yes","No")</f>
        <v/>
      </c>
      <c r="F28" s="2" t="n">
        <v>4</v>
      </c>
      <c r="G28" s="310" t="n"/>
    </row>
    <row r="29">
      <c r="A29" s="165" t="inlineStr">
        <is>
          <t>Jane</t>
        </is>
      </c>
      <c r="B29" s="178" t="n">
        <v>10</v>
      </c>
      <c r="C29" s="179">
        <f>IF(B29&gt;=8,"Excellent",IF(B29&gt;=6,"Good",IF(B29&gt;=4,"Satisfactory","Unsatisfactory")))</f>
        <v/>
      </c>
      <c r="D29" s="179">
        <f>IF(B29=MAX($B$22:$B$32),"Yes","No")</f>
        <v/>
      </c>
      <c r="F29" s="2" t="n">
        <v>3</v>
      </c>
      <c r="G29" s="243" t="inlineStr">
        <is>
          <t>Unsatisfactory</t>
        </is>
      </c>
    </row>
    <row r="30">
      <c r="A30" s="165" t="inlineStr">
        <is>
          <t>Anna</t>
        </is>
      </c>
      <c r="B30" s="178" t="n">
        <v>3</v>
      </c>
      <c r="C30" s="179">
        <f>IF(B30&gt;=8,"Excellent",IF(B30&gt;=6,"Good",IF(B30&gt;=4,"Satisfactory","Unsatisfactory")))</f>
        <v/>
      </c>
      <c r="D30" s="179">
        <f>IF(B30=MAX($B$22:$B$32),"Yes","No")</f>
        <v/>
      </c>
      <c r="F30" s="2" t="n">
        <v>2</v>
      </c>
      <c r="G30" s="309" t="n"/>
    </row>
    <row r="31">
      <c r="A31" s="165" t="inlineStr">
        <is>
          <t>Nicole</t>
        </is>
      </c>
      <c r="B31" s="178" t="n">
        <v>7</v>
      </c>
      <c r="C31" s="179">
        <f>IF(B31&gt;=8,"Excellent",IF(B31&gt;=6,"Good",IF(B31&gt;=4,"Satisfactory","Unsatisfactory")))</f>
        <v/>
      </c>
      <c r="D31" s="179">
        <f>IF(B31=MAX($B$22:$B$32),"Yes","No")</f>
        <v/>
      </c>
      <c r="F31" s="2" t="n">
        <v>1</v>
      </c>
      <c r="G31" s="309" t="n"/>
    </row>
    <row r="32">
      <c r="A32" s="165" t="inlineStr">
        <is>
          <t>Synthia</t>
        </is>
      </c>
      <c r="B32" s="178" t="n">
        <v>9</v>
      </c>
      <c r="C32" s="179">
        <f>IF(B32&gt;=8,"Excellent",IF(B32&gt;=6,"Good",IF(B32&gt;=4,"Satisfactory","Unsatisfactory")))</f>
        <v/>
      </c>
      <c r="D32" s="179">
        <f>IF(B32=MAX($B$22:$B$32),"Yes","No")</f>
        <v/>
      </c>
      <c r="F32" s="2" t="n">
        <v>0</v>
      </c>
      <c r="G32" s="310" t="n"/>
    </row>
    <row r="36" ht="15" customHeight="1" thickBot="1">
      <c r="F36" s="254" t="inlineStr">
        <is>
          <t>Question 1</t>
        </is>
      </c>
      <c r="G36" s="311" t="n"/>
      <c r="H36" s="180" t="inlineStr">
        <is>
          <t>Question 2</t>
        </is>
      </c>
      <c r="I36" s="180" t="inlineStr">
        <is>
          <t>Question 3</t>
        </is>
      </c>
      <c r="J36" s="180" t="inlineStr">
        <is>
          <t>Question 4</t>
        </is>
      </c>
      <c r="L36" s="181" t="inlineStr">
        <is>
          <t>Question 1</t>
        </is>
      </c>
    </row>
    <row r="37" ht="15" customHeight="1" thickBot="1">
      <c r="A37" s="182" t="inlineStr">
        <is>
          <t>Candidate ID</t>
        </is>
      </c>
      <c r="B37" s="182" t="inlineStr">
        <is>
          <t>Candidate Name</t>
        </is>
      </c>
      <c r="C37" s="182" t="inlineStr">
        <is>
          <t>Location</t>
        </is>
      </c>
      <c r="D37" s="182" t="inlineStr">
        <is>
          <t>Department</t>
        </is>
      </c>
      <c r="E37" s="183" t="inlineStr">
        <is>
          <t>Current Salary</t>
        </is>
      </c>
      <c r="F37" s="184" t="inlineStr">
        <is>
          <t>Bonus %</t>
        </is>
      </c>
      <c r="G37" s="184" t="inlineStr">
        <is>
          <t>Selection ?</t>
        </is>
      </c>
      <c r="H37" s="184" t="inlineStr">
        <is>
          <t>Selection ?</t>
        </is>
      </c>
      <c r="I37" s="184" t="inlineStr">
        <is>
          <t>Eligible?</t>
        </is>
      </c>
      <c r="J37" s="184" t="inlineStr">
        <is>
          <t>Eligible?</t>
        </is>
      </c>
      <c r="L37" s="185" t="inlineStr">
        <is>
          <t>Selection Criteria</t>
        </is>
      </c>
      <c r="M37" s="186" t="n"/>
    </row>
    <row r="38">
      <c r="A38" s="187" t="n">
        <v>1001</v>
      </c>
      <c r="B38" s="188" t="inlineStr">
        <is>
          <t>Pace</t>
        </is>
      </c>
      <c r="C38" s="188" t="inlineStr">
        <is>
          <t>New York</t>
        </is>
      </c>
      <c r="D38" s="189" t="inlineStr">
        <is>
          <t>Finance</t>
        </is>
      </c>
      <c r="E38" s="190" t="n">
        <v>24000</v>
      </c>
      <c r="F38" s="312">
        <f>IF(E38&lt;=20000,0.05,IF(E38&lt;=50000,0.1,0.15))</f>
        <v/>
      </c>
      <c r="G38" s="191">
        <f>IF(AND(C38="Dallas",E38&lt;50000),"Yes","No")</f>
        <v/>
      </c>
      <c r="H38" s="191">
        <f>IF(OR(C38="Dallas",C38="New York"),"Yes","No")</f>
        <v/>
      </c>
      <c r="I38" s="191">
        <f>IF(AND(E38&gt;50000,OR(D38="Finance",D38="Operations")),"Yes","No")</f>
        <v/>
      </c>
      <c r="J38" s="191">
        <f>IF(AND(OR(C38="Boston",C38="Chicago"),OR(D38="Sales",D38="HRA")),"Yes","No")</f>
        <v/>
      </c>
      <c r="L38" s="192" t="inlineStr">
        <is>
          <t>Location = Dallas</t>
        </is>
      </c>
      <c r="M38" s="186" t="n"/>
    </row>
    <row r="39" ht="15" customHeight="1" thickBot="1">
      <c r="A39" s="187">
        <f>A38+1</f>
        <v/>
      </c>
      <c r="B39" s="188" t="inlineStr">
        <is>
          <t>Gaines</t>
        </is>
      </c>
      <c r="C39" s="188" t="inlineStr">
        <is>
          <t>Dallas</t>
        </is>
      </c>
      <c r="D39" s="189" t="inlineStr">
        <is>
          <t>Operations</t>
        </is>
      </c>
      <c r="E39" s="190" t="n">
        <v>61000</v>
      </c>
      <c r="F39" s="312">
        <f>IF(E39&lt;=20000,0.05,IF(E39&lt;=50000,0.1,0.15))</f>
        <v/>
      </c>
      <c r="G39" s="191">
        <f>IF(AND(C39="Dallas",E39&lt;50000),"Yes","No")</f>
        <v/>
      </c>
      <c r="H39" s="191">
        <f>IF(OR(C39="Dallas",C39="New York"),"Yes","No")</f>
        <v/>
      </c>
      <c r="I39" s="191">
        <f>IF(AND(E39&gt;50000,OR(D39="Finance",D39="Operations")),"Yes","No")</f>
        <v/>
      </c>
      <c r="J39" s="191">
        <f>IF(AND(OR(C39="Boston",C39="Chicago"),OR(D39="Sales",D39="HRA")),"Yes","No")</f>
        <v/>
      </c>
      <c r="L39" s="193" t="inlineStr">
        <is>
          <t>Salary &lt; 50000</t>
        </is>
      </c>
      <c r="M39" s="186" t="n"/>
    </row>
    <row r="40">
      <c r="A40" s="187">
        <f>A39+1</f>
        <v/>
      </c>
      <c r="B40" s="188" t="inlineStr">
        <is>
          <t>Frederick</t>
        </is>
      </c>
      <c r="C40" s="188" t="inlineStr">
        <is>
          <t>Boston</t>
        </is>
      </c>
      <c r="D40" s="189" t="inlineStr">
        <is>
          <t>HRA</t>
        </is>
      </c>
      <c r="E40" s="190" t="n">
        <v>64000</v>
      </c>
      <c r="F40" s="312">
        <f>IF(E40&lt;=20000,0.05,IF(E40&lt;=50000,0.1,0.15))</f>
        <v/>
      </c>
      <c r="G40" s="191">
        <f>IF(AND(C40="Dallas",E40&lt;50000),"Yes","No")</f>
        <v/>
      </c>
      <c r="H40" s="191">
        <f>IF(OR(C40="Dallas",C40="New York"),"Yes","No")</f>
        <v/>
      </c>
      <c r="I40" s="191">
        <f>IF(AND(E40&gt;50000,OR(D40="Finance",D40="Operations")),"Yes","No")</f>
        <v/>
      </c>
      <c r="J40" s="191">
        <f>IF(AND(OR(C40="Boston",C40="Chicago"),OR(D40="Sales",D40="HRA")),"Yes","No")</f>
        <v/>
      </c>
      <c r="L40" s="194" t="n"/>
      <c r="M40" s="186" t="n"/>
    </row>
    <row r="41" ht="15" customHeight="1" thickBot="1">
      <c r="A41" s="187">
        <f>A40+1</f>
        <v/>
      </c>
      <c r="B41" s="188" t="inlineStr">
        <is>
          <t>Wilkerson</t>
        </is>
      </c>
      <c r="C41" s="188" t="inlineStr">
        <is>
          <t>Dallas</t>
        </is>
      </c>
      <c r="D41" s="189" t="inlineStr">
        <is>
          <t>Sales</t>
        </is>
      </c>
      <c r="E41" s="190" t="n">
        <v>42000</v>
      </c>
      <c r="F41" s="312">
        <f>IF(E41&lt;=20000,0.05,IF(E41&lt;=50000,0.1,0.15))</f>
        <v/>
      </c>
      <c r="G41" s="191">
        <f>IF(AND(C41="Dallas",E41&lt;50000),"Yes","No")</f>
        <v/>
      </c>
      <c r="H41" s="191">
        <f>IF(OR(C41="Dallas",C41="New York"),"Yes","No")</f>
        <v/>
      </c>
      <c r="I41" s="191">
        <f>IF(AND(E41&gt;50000,OR(D41="Finance",D41="Operations")),"Yes","No")</f>
        <v/>
      </c>
      <c r="J41" s="191">
        <f>IF(AND(OR(C41="Boston",C41="Chicago"),OR(D41="Sales",D41="HRA")),"Yes","No")</f>
        <v/>
      </c>
      <c r="L41" s="194" t="n"/>
      <c r="M41" s="186" t="n"/>
    </row>
    <row r="42">
      <c r="A42" s="187">
        <f>A41+1</f>
        <v/>
      </c>
      <c r="B42" s="188" t="inlineStr">
        <is>
          <t>Mccormick</t>
        </is>
      </c>
      <c r="C42" s="188" t="inlineStr">
        <is>
          <t>New York</t>
        </is>
      </c>
      <c r="D42" s="189" t="inlineStr">
        <is>
          <t>Finance</t>
        </is>
      </c>
      <c r="E42" s="190" t="n">
        <v>42000</v>
      </c>
      <c r="F42" s="312">
        <f>IF(E42&lt;=20000,0.05,IF(E42&lt;=50000,0.1,0.15))</f>
        <v/>
      </c>
      <c r="G42" s="191">
        <f>IF(AND(C42="Dallas",E42&lt;50000),"Yes","No")</f>
        <v/>
      </c>
      <c r="H42" s="191">
        <f>IF(OR(C42="Dallas",C42="New York"),"Yes","No")</f>
        <v/>
      </c>
      <c r="I42" s="191">
        <f>IF(AND(E42&gt;50000,OR(D42="Finance",D42="Operations")),"Yes","No")</f>
        <v/>
      </c>
      <c r="J42" s="191">
        <f>IF(AND(OR(C42="Boston",C42="Chicago"),OR(D42="Sales",D42="HRA")),"Yes","No")</f>
        <v/>
      </c>
      <c r="L42" s="213" t="inlineStr">
        <is>
          <t>Salary</t>
        </is>
      </c>
      <c r="M42" s="245" t="inlineStr">
        <is>
          <t>Bonus</t>
        </is>
      </c>
    </row>
    <row r="43">
      <c r="A43" s="187">
        <f>A42+1</f>
        <v/>
      </c>
      <c r="B43" s="188" t="inlineStr">
        <is>
          <t>Stubbs</t>
        </is>
      </c>
      <c r="C43" s="188" t="inlineStr">
        <is>
          <t>Dallas</t>
        </is>
      </c>
      <c r="D43" s="189" t="inlineStr">
        <is>
          <t>Finance</t>
        </is>
      </c>
      <c r="E43" s="190" t="n">
        <v>78000</v>
      </c>
      <c r="F43" s="312">
        <f>IF(E43&lt;=20000,0.05,IF(E43&lt;=50000,0.1,0.15))</f>
        <v/>
      </c>
      <c r="G43" s="191">
        <f>IF(AND(C43="Dallas",E43&lt;50000),"Yes","No")</f>
        <v/>
      </c>
      <c r="H43" s="191">
        <f>IF(OR(C43="Dallas",C43="New York"),"Yes","No")</f>
        <v/>
      </c>
      <c r="I43" s="191">
        <f>IF(AND(E43&gt;50000,OR(D43="Finance",D43="Operations")),"Yes","No")</f>
        <v/>
      </c>
      <c r="J43" s="191">
        <f>IF(AND(OR(C43="Boston",C43="Chicago"),OR(D43="Sales",D43="HRA")),"Yes","No")</f>
        <v/>
      </c>
      <c r="L43" s="215" t="inlineStr">
        <is>
          <t>0 to 20000</t>
        </is>
      </c>
      <c r="M43" s="216" t="n">
        <v>0.05</v>
      </c>
    </row>
    <row r="44">
      <c r="A44" s="187">
        <f>A43+1</f>
        <v/>
      </c>
      <c r="B44" s="188" t="inlineStr">
        <is>
          <t>Whitney</t>
        </is>
      </c>
      <c r="C44" s="188" t="inlineStr">
        <is>
          <t>Boston</t>
        </is>
      </c>
      <c r="D44" s="189" t="inlineStr">
        <is>
          <t>Finance</t>
        </is>
      </c>
      <c r="E44" s="190" t="n">
        <v>69000</v>
      </c>
      <c r="F44" s="312">
        <f>IF(E44&lt;=20000,0.05,IF(E44&lt;=50000,0.1,0.15))</f>
        <v/>
      </c>
      <c r="G44" s="191">
        <f>IF(AND(C44="Dallas",E44&lt;50000),"Yes","No")</f>
        <v/>
      </c>
      <c r="H44" s="191">
        <f>IF(OR(C44="Dallas",C44="New York"),"Yes","No")</f>
        <v/>
      </c>
      <c r="I44" s="191">
        <f>IF(AND(E44&gt;50000,OR(D44="Finance",D44="Operations")),"Yes","No")</f>
        <v/>
      </c>
      <c r="J44" s="191">
        <f>IF(AND(OR(C44="Boston",C44="Chicago"),OR(D44="Sales",D44="HRA")),"Yes","No")</f>
        <v/>
      </c>
      <c r="L44" s="215" t="inlineStr">
        <is>
          <t>20000 to 50000</t>
        </is>
      </c>
      <c r="M44" s="216" t="n">
        <v>0.1</v>
      </c>
    </row>
    <row r="45" ht="15" customHeight="1" thickBot="1">
      <c r="A45" s="187">
        <f>A44+1</f>
        <v/>
      </c>
      <c r="B45" s="188" t="inlineStr">
        <is>
          <t>Aguirre</t>
        </is>
      </c>
      <c r="C45" s="188" t="inlineStr">
        <is>
          <t>Chicago</t>
        </is>
      </c>
      <c r="D45" s="189" t="inlineStr">
        <is>
          <t>Sales</t>
        </is>
      </c>
      <c r="E45" s="190" t="n">
        <v>52000</v>
      </c>
      <c r="F45" s="312">
        <f>IF(E45&lt;=20000,0.05,IF(E45&lt;=50000,0.1,0.15))</f>
        <v/>
      </c>
      <c r="G45" s="191">
        <f>IF(AND(C45="Dallas",E45&lt;50000),"Yes","No")</f>
        <v/>
      </c>
      <c r="H45" s="191">
        <f>IF(OR(C45="Dallas",C45="New York"),"Yes","No")</f>
        <v/>
      </c>
      <c r="I45" s="191">
        <f>IF(AND(E45&gt;50000,OR(D45="Finance",D45="Operations")),"Yes","No")</f>
        <v/>
      </c>
      <c r="J45" s="191">
        <f>IF(AND(OR(C45="Boston",C45="Chicago"),OR(D45="Sales",D45="HRA")),"Yes","No")</f>
        <v/>
      </c>
      <c r="L45" s="217" t="inlineStr">
        <is>
          <t>More than 50000</t>
        </is>
      </c>
      <c r="M45" s="218" t="n">
        <v>0.15</v>
      </c>
    </row>
    <row r="46">
      <c r="A46" s="187">
        <f>A45+1</f>
        <v/>
      </c>
      <c r="B46" s="188" t="inlineStr">
        <is>
          <t>Mcfarland</t>
        </is>
      </c>
      <c r="C46" s="188" t="inlineStr">
        <is>
          <t>New York</t>
        </is>
      </c>
      <c r="D46" s="189" t="inlineStr">
        <is>
          <t>Finance</t>
        </is>
      </c>
      <c r="E46" s="190" t="n">
        <v>67000</v>
      </c>
      <c r="F46" s="312">
        <f>IF(E46&lt;=20000,0.05,IF(E46&lt;=50000,0.1,0.15))</f>
        <v/>
      </c>
      <c r="G46" s="191">
        <f>IF(AND(C46="Dallas",E46&lt;50000),"Yes","No")</f>
        <v/>
      </c>
      <c r="H46" s="191">
        <f>IF(OR(C46="Dallas",C46="New York"),"Yes","No")</f>
        <v/>
      </c>
      <c r="I46" s="191">
        <f>IF(AND(E46&gt;50000,OR(D46="Finance",D46="Operations")),"Yes","No")</f>
        <v/>
      </c>
      <c r="J46" s="191">
        <f>IF(AND(OR(C46="Boston",C46="Chicago"),OR(D46="Sales",D46="HRA")),"Yes","No")</f>
        <v/>
      </c>
    </row>
    <row r="47">
      <c r="A47" s="187">
        <f>A46+1</f>
        <v/>
      </c>
      <c r="B47" s="188" t="inlineStr">
        <is>
          <t>Burt</t>
        </is>
      </c>
      <c r="C47" s="188" t="inlineStr">
        <is>
          <t>Dallas</t>
        </is>
      </c>
      <c r="D47" s="189" t="inlineStr">
        <is>
          <t>Operations</t>
        </is>
      </c>
      <c r="E47" s="190" t="n">
        <v>75000</v>
      </c>
      <c r="F47" s="312">
        <f>IF(E47&lt;=20000,0.05,IF(E47&lt;=50000,0.1,0.15))</f>
        <v/>
      </c>
      <c r="G47" s="191">
        <f>IF(AND(C47="Dallas",E47&lt;50000),"Yes","No")</f>
        <v/>
      </c>
      <c r="H47" s="191">
        <f>IF(OR(C47="Dallas",C47="New York"),"Yes","No")</f>
        <v/>
      </c>
      <c r="I47" s="191">
        <f>IF(AND(E47&gt;50000,OR(D47="Finance",D47="Operations")),"Yes","No")</f>
        <v/>
      </c>
      <c r="J47" s="191">
        <f>IF(AND(OR(C47="Boston",C47="Chicago"),OR(D47="Sales",D47="HRA")),"Yes","No")</f>
        <v/>
      </c>
      <c r="L47" s="180" t="inlineStr">
        <is>
          <t>Question 2</t>
        </is>
      </c>
    </row>
    <row r="48" ht="15" customHeight="1" thickBot="1">
      <c r="A48" s="187">
        <f>A47+1</f>
        <v/>
      </c>
      <c r="B48" s="188" t="inlineStr">
        <is>
          <t>Rahul</t>
        </is>
      </c>
      <c r="C48" s="188" t="inlineStr">
        <is>
          <t>Boston</t>
        </is>
      </c>
      <c r="D48" s="189" t="inlineStr">
        <is>
          <t>HRA</t>
        </is>
      </c>
      <c r="E48" s="190" t="n">
        <v>66000</v>
      </c>
      <c r="F48" s="312">
        <f>IF(E48&lt;=20000,0.05,IF(E48&lt;=50000,0.1,0.15))</f>
        <v/>
      </c>
      <c r="G48" s="191">
        <f>IF(AND(C48="Dallas",E48&lt;50000),"Yes","No")</f>
        <v/>
      </c>
      <c r="H48" s="191">
        <f>IF(OR(C48="Dallas",C48="New York"),"Yes","No")</f>
        <v/>
      </c>
      <c r="I48" s="191">
        <f>IF(AND(E48&gt;50000,OR(D48="Finance",D48="Operations")),"Yes","No")</f>
        <v/>
      </c>
      <c r="J48" s="191">
        <f>IF(AND(OR(C48="Boston",C48="Chicago"),OR(D48="Sales",D48="HRA")),"Yes","No")</f>
        <v/>
      </c>
    </row>
    <row r="49">
      <c r="A49" s="187">
        <f>A48+1</f>
        <v/>
      </c>
      <c r="B49" s="188" t="inlineStr">
        <is>
          <t>Kayne</t>
        </is>
      </c>
      <c r="C49" s="188" t="inlineStr">
        <is>
          <t>Chicago</t>
        </is>
      </c>
      <c r="D49" s="189" t="inlineStr">
        <is>
          <t>Sales</t>
        </is>
      </c>
      <c r="E49" s="190" t="n">
        <v>51000</v>
      </c>
      <c r="F49" s="312">
        <f>IF(E49&lt;=20000,0.05,IF(E49&lt;=50000,0.1,0.15))</f>
        <v/>
      </c>
      <c r="G49" s="191">
        <f>IF(AND(C49="Dallas",E49&lt;50000),"Yes","No")</f>
        <v/>
      </c>
      <c r="H49" s="191">
        <f>IF(OR(C49="Dallas",C49="New York"),"Yes","No")</f>
        <v/>
      </c>
      <c r="I49" s="191">
        <f>IF(AND(E49&gt;50000,OR(D49="Finance",D49="Operations")),"Yes","No")</f>
        <v/>
      </c>
      <c r="J49" s="191">
        <f>IF(AND(OR(C49="Boston",C49="Chicago"),OR(D49="Sales",D49="HRA")),"Yes","No")</f>
        <v/>
      </c>
      <c r="L49" s="244" t="inlineStr">
        <is>
          <t>Selection Criteria</t>
        </is>
      </c>
      <c r="M49" s="313" t="n"/>
    </row>
    <row r="50" ht="15" customHeight="1" thickBot="1">
      <c r="A50" s="195">
        <f>A49+1</f>
        <v/>
      </c>
      <c r="B50" s="196" t="inlineStr">
        <is>
          <t>Anil</t>
        </is>
      </c>
      <c r="C50" s="196" t="inlineStr">
        <is>
          <t>New York</t>
        </is>
      </c>
      <c r="D50" s="189" t="inlineStr">
        <is>
          <t>Finance</t>
        </is>
      </c>
      <c r="E50" s="190" t="n">
        <v>77000</v>
      </c>
      <c r="F50" s="312">
        <f>IF(E50&lt;=20000,0.05,IF(E50&lt;=50000,0.1,0.15))</f>
        <v/>
      </c>
      <c r="G50" s="191">
        <f>IF(AND(C50="Dallas",E50&lt;50000),"Yes","No")</f>
        <v/>
      </c>
      <c r="H50" s="191">
        <f>IF(OR(C50="Dallas",C50="New York"),"Yes","No")</f>
        <v/>
      </c>
      <c r="I50" s="191">
        <f>IF(AND(E50&gt;50000,OR(D50="Finance",D50="Operations")),"Yes","No")</f>
        <v/>
      </c>
      <c r="J50" s="191">
        <f>IF(AND(OR(C50="Boston",C50="Chicago"),OR(D50="Sales",D50="HRA")),"Yes","No")</f>
        <v/>
      </c>
      <c r="L50" s="252" t="inlineStr">
        <is>
          <t>Location = Dallas, New York</t>
        </is>
      </c>
      <c r="M50" s="314" t="n"/>
    </row>
    <row r="52">
      <c r="L52" s="180" t="inlineStr">
        <is>
          <t>Question 3</t>
        </is>
      </c>
    </row>
    <row r="53" ht="15" customHeight="1" thickBot="1"/>
    <row r="54">
      <c r="L54" s="315" t="inlineStr">
        <is>
          <t>Bonus Eligibility Criteria</t>
        </is>
      </c>
      <c r="M54" s="316" t="n"/>
      <c r="N54" s="317" t="n"/>
    </row>
    <row r="55">
      <c r="L55" s="318" t="inlineStr">
        <is>
          <t>Salary &gt; 50000</t>
        </is>
      </c>
      <c r="M55" s="306" t="n"/>
      <c r="N55" s="319" t="n"/>
    </row>
    <row r="56" ht="15" customHeight="1" thickBot="1">
      <c r="L56" s="320" t="inlineStr">
        <is>
          <t>Department = Finance, Operations</t>
        </is>
      </c>
      <c r="M56" s="321" t="n"/>
      <c r="N56" s="322" t="n"/>
    </row>
    <row r="58">
      <c r="L58" s="180" t="inlineStr">
        <is>
          <t>Question 4</t>
        </is>
      </c>
    </row>
    <row r="59" ht="15" customHeight="1" thickBot="1"/>
    <row r="60">
      <c r="L60" s="315" t="inlineStr">
        <is>
          <t>Eligibility Criteria</t>
        </is>
      </c>
      <c r="M60" s="316" t="n"/>
      <c r="N60" s="317" t="n"/>
    </row>
    <row r="61">
      <c r="L61" s="318" t="inlineStr">
        <is>
          <t>Location = Boston, Chicago</t>
        </is>
      </c>
      <c r="M61" s="306" t="n"/>
      <c r="N61" s="319" t="n"/>
    </row>
    <row r="62" ht="15" customHeight="1" thickBot="1">
      <c r="L62" s="320" t="inlineStr">
        <is>
          <t>Department = Sales, HRA</t>
        </is>
      </c>
      <c r="M62" s="321" t="n"/>
      <c r="N62" s="322" t="n"/>
    </row>
  </sheetData>
  <mergeCells count="13">
    <mergeCell ref="G22:G24"/>
    <mergeCell ref="L62:N62"/>
    <mergeCell ref="L54:N54"/>
    <mergeCell ref="G27:G28"/>
    <mergeCell ref="L60:N60"/>
    <mergeCell ref="L50:M50"/>
    <mergeCell ref="L49:M49"/>
    <mergeCell ref="L61:N61"/>
    <mergeCell ref="F36:G36"/>
    <mergeCell ref="G29:G32"/>
    <mergeCell ref="G25:G26"/>
    <mergeCell ref="L55:N55"/>
    <mergeCell ref="L56:N56"/>
  </mergeCells>
  <pageMargins left="0.7" right="0.7" top="0.75" bottom="0.75" header="0.3" footer="0.3"/>
  <pageSetup orientation="portrait" paperSize="9"/>
</worksheet>
</file>

<file path=xl/worksheets/sheet6.xml><?xml version="1.0" encoding="utf-8"?>
<worksheet xmlns="http://schemas.openxmlformats.org/spreadsheetml/2006/main">
  <sheetPr>
    <tabColor theme="7"/>
    <outlinePr summaryBelow="1" summaryRight="1"/>
    <pageSetUpPr/>
  </sheetPr>
  <dimension ref="A1:M24"/>
  <sheetViews>
    <sheetView workbookViewId="0">
      <selection activeCell="G12" sqref="G12"/>
    </sheetView>
  </sheetViews>
  <sheetFormatPr baseColWidth="10" defaultColWidth="8.83203125" defaultRowHeight="14"/>
  <cols>
    <col width="8.83203125" customWidth="1" style="1" min="1" max="1"/>
    <col width="13" customWidth="1" style="1" min="2" max="2"/>
    <col width="11.6640625" customWidth="1" style="1" min="3" max="3"/>
    <col width="11.83203125" customWidth="1" style="1" min="4" max="4"/>
    <col width="12" customWidth="1" style="1" min="5" max="5"/>
    <col width="8.83203125" customWidth="1" style="1" min="6" max="6"/>
    <col width="12.33203125" bestFit="1" customWidth="1" style="1" min="7" max="9"/>
    <col width="12.33203125" customWidth="1" style="1" min="10" max="10"/>
    <col width="8.83203125" customWidth="1" style="1" min="11" max="11"/>
    <col width="13.33203125" customWidth="1" style="1" min="12" max="12"/>
    <col width="11.6640625" customWidth="1" style="1" min="13" max="13"/>
    <col width="8.83203125" customWidth="1" style="1" min="14" max="14"/>
    <col width="14.6640625" customWidth="1" style="1" min="15" max="15"/>
    <col width="8.83203125" customWidth="1" style="1" min="16" max="16384"/>
  </cols>
  <sheetData>
    <row r="1">
      <c r="A1" s="50" t="inlineStr">
        <is>
          <t>Fill the table with outputs according to conditions</t>
        </is>
      </c>
    </row>
    <row r="4" ht="16" customHeight="1">
      <c r="A4" s="197" t="inlineStr">
        <is>
          <t>S.No</t>
        </is>
      </c>
      <c r="B4" s="197" t="inlineStr">
        <is>
          <t>Product ID</t>
        </is>
      </c>
      <c r="C4" s="197" t="inlineStr">
        <is>
          <t>Segment</t>
        </is>
      </c>
      <c r="D4" s="197" t="inlineStr">
        <is>
          <t>Category</t>
        </is>
      </c>
      <c r="E4" s="197" t="inlineStr">
        <is>
          <t>Target</t>
        </is>
      </c>
      <c r="F4" s="197" t="inlineStr">
        <is>
          <t>Sales</t>
        </is>
      </c>
      <c r="G4" s="198" t="inlineStr">
        <is>
          <t>Condition 1</t>
        </is>
      </c>
      <c r="H4" s="198" t="inlineStr">
        <is>
          <t>Condition 2</t>
        </is>
      </c>
      <c r="I4" s="198" t="inlineStr">
        <is>
          <t>Condition 3</t>
        </is>
      </c>
    </row>
    <row r="5">
      <c r="A5" s="243" t="n">
        <v>1</v>
      </c>
      <c r="B5" s="243" t="inlineStr">
        <is>
          <t>OFF-SU-10004661</t>
        </is>
      </c>
      <c r="C5" s="243" t="inlineStr">
        <is>
          <t>Corporate</t>
        </is>
      </c>
      <c r="D5" s="243" t="inlineStr">
        <is>
          <t>Supplies</t>
        </is>
      </c>
      <c r="E5" s="243" t="n">
        <v>19000</v>
      </c>
      <c r="F5" s="243" t="n">
        <v>3000</v>
      </c>
      <c r="G5" s="166">
        <f>IF(F5&gt;=E5,"Met","Not Met")</f>
        <v/>
      </c>
      <c r="H5" s="166">
        <f>IF(F5&gt;=E5,0.1,0)</f>
        <v/>
      </c>
      <c r="I5" s="166">
        <f>IF(F5&gt;15000,"Excellent",IF(F5&gt;=10000,"Good","Average"))</f>
        <v/>
      </c>
      <c r="L5" s="199" t="inlineStr">
        <is>
          <t>Condition 1</t>
        </is>
      </c>
      <c r="M5" s="200" t="inlineStr">
        <is>
          <t>Output</t>
        </is>
      </c>
    </row>
    <row r="6">
      <c r="A6" s="243" t="n">
        <v>2</v>
      </c>
      <c r="B6" s="243" t="inlineStr">
        <is>
          <t>OFF-AP-10001634</t>
        </is>
      </c>
      <c r="C6" s="243" t="inlineStr">
        <is>
          <t>Consumer</t>
        </is>
      </c>
      <c r="D6" s="243" t="inlineStr">
        <is>
          <t>Appliances</t>
        </is>
      </c>
      <c r="E6" s="243" t="n">
        <v>16000</v>
      </c>
      <c r="F6" s="243" t="n">
        <v>17000</v>
      </c>
      <c r="G6" s="166">
        <f>IF(F6&gt;=E6,"Met","Not Met")</f>
        <v/>
      </c>
      <c r="H6" s="166">
        <f>IF(F6&gt;=E6,0.1,0)</f>
        <v/>
      </c>
      <c r="I6" s="166">
        <f>IF(F6&gt;15000,"Excellent",IF(F6&gt;=10000,"Good","Average"))</f>
        <v/>
      </c>
      <c r="L6" s="2" t="inlineStr">
        <is>
          <t>Sales &gt; Target</t>
        </is>
      </c>
      <c r="M6" s="243" t="inlineStr">
        <is>
          <t>Met</t>
        </is>
      </c>
    </row>
    <row r="7">
      <c r="A7" s="243" t="n">
        <v>3</v>
      </c>
      <c r="B7" s="243" t="inlineStr">
        <is>
          <t>OFF-PA-10002666</t>
        </is>
      </c>
      <c r="C7" s="243" t="inlineStr">
        <is>
          <t>Consumer</t>
        </is>
      </c>
      <c r="D7" s="243" t="inlineStr">
        <is>
          <t>Supplies</t>
        </is>
      </c>
      <c r="E7" s="243" t="n">
        <v>5000</v>
      </c>
      <c r="F7" s="243" t="n">
        <v>7000</v>
      </c>
      <c r="G7" s="166">
        <f>IF(F7&gt;=E7,"Met","Not Met")</f>
        <v/>
      </c>
      <c r="H7" s="166">
        <f>IF(F7&gt;=E7,0.1,0)</f>
        <v/>
      </c>
      <c r="I7" s="166">
        <f>IF(F7&gt;15000,"Excellent",IF(F7&gt;=10000,"Good","Average"))</f>
        <v/>
      </c>
      <c r="L7" s="2" t="inlineStr">
        <is>
          <t>Sales &lt; Target</t>
        </is>
      </c>
      <c r="M7" s="243" t="inlineStr">
        <is>
          <t>Not Met</t>
        </is>
      </c>
    </row>
    <row r="8">
      <c r="A8" s="243" t="n">
        <v>4</v>
      </c>
      <c r="B8" s="243" t="inlineStr">
        <is>
          <t>FUR-TA-10001539</t>
        </is>
      </c>
      <c r="C8" s="243" t="inlineStr">
        <is>
          <t>Corporate</t>
        </is>
      </c>
      <c r="D8" s="243" t="inlineStr">
        <is>
          <t>Tables</t>
        </is>
      </c>
      <c r="E8" s="243" t="n">
        <v>6000</v>
      </c>
      <c r="F8" s="243" t="n">
        <v>8000</v>
      </c>
      <c r="G8" s="166">
        <f>IF(F8&gt;=E8,"Met","Not Met")</f>
        <v/>
      </c>
      <c r="H8" s="166">
        <f>IF(F8&gt;=E8,0.1,0)</f>
        <v/>
      </c>
      <c r="I8" s="166">
        <f>IF(F8&gt;15000,"Excellent",IF(F8&gt;=10000,"Good","Average"))</f>
        <v/>
      </c>
    </row>
    <row r="9">
      <c r="A9" s="243" t="n">
        <v>5</v>
      </c>
      <c r="B9" s="243" t="inlineStr">
        <is>
          <t>OFF-ST-10000142</t>
        </is>
      </c>
      <c r="C9" s="243" t="inlineStr">
        <is>
          <t>Consumer</t>
        </is>
      </c>
      <c r="D9" s="243" t="inlineStr">
        <is>
          <t>Storage</t>
        </is>
      </c>
      <c r="E9" s="243" t="n">
        <v>3000</v>
      </c>
      <c r="F9" s="243" t="n">
        <v>3000</v>
      </c>
      <c r="G9" s="166">
        <f>IF(F9&gt;=E9,"Met","Not Met")</f>
        <v/>
      </c>
      <c r="H9" s="166">
        <f>IF(F9&gt;=E9,0.1,0)</f>
        <v/>
      </c>
      <c r="I9" s="166">
        <f>IF(F9&gt;15000,"Excellent",IF(F9&gt;=10000,"Good","Average"))</f>
        <v/>
      </c>
      <c r="L9" s="199" t="inlineStr">
        <is>
          <t>Condition 2</t>
        </is>
      </c>
      <c r="M9" s="200" t="inlineStr">
        <is>
          <t>Commision</t>
        </is>
      </c>
    </row>
    <row r="10">
      <c r="A10" s="243" t="n">
        <v>6</v>
      </c>
      <c r="B10" s="243" t="inlineStr">
        <is>
          <t>FUR-FU-10000308</t>
        </is>
      </c>
      <c r="C10" s="243" t="inlineStr">
        <is>
          <t>Home Office</t>
        </is>
      </c>
      <c r="D10" s="243" t="inlineStr">
        <is>
          <t>Accessories</t>
        </is>
      </c>
      <c r="E10" s="243" t="n">
        <v>10000</v>
      </c>
      <c r="F10" s="243" t="n">
        <v>20000</v>
      </c>
      <c r="G10" s="166">
        <f>IF(F10&gt;=E10,"Met","Not Met")</f>
        <v/>
      </c>
      <c r="H10" s="166">
        <f>IF(F10&gt;=E10,0.1,0)</f>
        <v/>
      </c>
      <c r="I10" s="166">
        <f>IF(F10&gt;15000,"Excellent",IF(F10&gt;=10000,"Good","Average"))</f>
        <v/>
      </c>
      <c r="L10" s="2" t="inlineStr">
        <is>
          <t>Sales &gt; Target</t>
        </is>
      </c>
      <c r="M10" s="201" t="n">
        <v>0.1</v>
      </c>
    </row>
    <row r="11">
      <c r="A11" s="243" t="n">
        <v>7</v>
      </c>
      <c r="B11" s="243" t="inlineStr">
        <is>
          <t>OFF-PA-10001526</t>
        </is>
      </c>
      <c r="C11" s="243" t="inlineStr">
        <is>
          <t>Consumer</t>
        </is>
      </c>
      <c r="D11" s="243" t="inlineStr">
        <is>
          <t>Paper</t>
        </is>
      </c>
      <c r="E11" s="243" t="n">
        <v>15000</v>
      </c>
      <c r="F11" s="243" t="n">
        <v>2000</v>
      </c>
      <c r="G11" s="166">
        <f>IF(F11&gt;=E11,"Met","Not Met")</f>
        <v/>
      </c>
      <c r="H11" s="166">
        <f>IF(F11&gt;=E11,0.1,0)</f>
        <v/>
      </c>
      <c r="I11" s="166">
        <f>IF(F11&gt;15000,"Excellent",IF(F11&gt;=10000,"Good","Average"))</f>
        <v/>
      </c>
      <c r="L11" s="2" t="inlineStr">
        <is>
          <t>Sales &lt; Target</t>
        </is>
      </c>
      <c r="M11" s="201" t="n">
        <v>0</v>
      </c>
    </row>
    <row r="12">
      <c r="A12" s="243" t="n">
        <v>8</v>
      </c>
      <c r="B12" s="243" t="inlineStr">
        <is>
          <t>OFF-AR-10002335</t>
        </is>
      </c>
      <c r="C12" s="243" t="inlineStr">
        <is>
          <t>Home Office</t>
        </is>
      </c>
      <c r="D12" s="243" t="inlineStr">
        <is>
          <t>Art</t>
        </is>
      </c>
      <c r="E12" s="243" t="n">
        <v>6000</v>
      </c>
      <c r="F12" s="243" t="n">
        <v>8000</v>
      </c>
      <c r="G12" s="166">
        <f>IF(F12&gt;=E12,"Met","Not Met")</f>
        <v/>
      </c>
      <c r="H12" s="166">
        <f>IF(F12&gt;=E12,0.1,0)</f>
        <v/>
      </c>
      <c r="I12" s="166">
        <f>IF(F12&gt;15000,"Excellent",IF(F12&gt;=10000,"Good","Average"))</f>
        <v/>
      </c>
    </row>
    <row r="13">
      <c r="A13" s="243" t="n">
        <v>9</v>
      </c>
      <c r="B13" s="243" t="inlineStr">
        <is>
          <t>OFF-BI-10004001</t>
        </is>
      </c>
      <c r="C13" s="243" t="inlineStr">
        <is>
          <t>Corporate</t>
        </is>
      </c>
      <c r="D13" s="243" t="inlineStr">
        <is>
          <t>Binders</t>
        </is>
      </c>
      <c r="E13" s="243" t="n">
        <v>19000</v>
      </c>
      <c r="F13" s="243" t="n">
        <v>4000</v>
      </c>
      <c r="G13" s="166">
        <f>IF(F13&gt;=E13,"Met","Not Met")</f>
        <v/>
      </c>
      <c r="H13" s="166">
        <f>IF(F13&gt;=E13,0.1,0)</f>
        <v/>
      </c>
      <c r="I13" s="166">
        <f>IF(F13&gt;15000,"Excellent",IF(F13&gt;=10000,"Good","Average"))</f>
        <v/>
      </c>
      <c r="L13" s="202" t="inlineStr">
        <is>
          <t>Condition 3</t>
        </is>
      </c>
      <c r="M13" s="202" t="inlineStr">
        <is>
          <t>Output</t>
        </is>
      </c>
    </row>
    <row r="14">
      <c r="A14" s="243" t="n">
        <v>10</v>
      </c>
      <c r="B14" s="243" t="inlineStr">
        <is>
          <t>OFF-BI-10001634</t>
        </is>
      </c>
      <c r="C14" s="243" t="inlineStr">
        <is>
          <t>Corporate</t>
        </is>
      </c>
      <c r="D14" s="243" t="inlineStr">
        <is>
          <t>Appliances</t>
        </is>
      </c>
      <c r="E14" s="243" t="n">
        <v>4000</v>
      </c>
      <c r="F14" s="243" t="n">
        <v>12000</v>
      </c>
      <c r="G14" s="166">
        <f>IF(F14&gt;=E14,"Met","Not Met")</f>
        <v/>
      </c>
      <c r="H14" s="166">
        <f>IF(F14&gt;=E14,0.1,0)</f>
        <v/>
      </c>
      <c r="I14" s="166">
        <f>IF(F14&gt;15000,"Excellent",IF(F14&gt;=10000,"Good","Average"))</f>
        <v/>
      </c>
      <c r="K14" s="258" t="inlineStr">
        <is>
          <t>Sales</t>
        </is>
      </c>
      <c r="L14" s="243" t="inlineStr">
        <is>
          <t>&gt;15K</t>
        </is>
      </c>
      <c r="M14" s="243" t="inlineStr">
        <is>
          <t>Excellent</t>
        </is>
      </c>
    </row>
    <row r="15">
      <c r="A15" s="243" t="n">
        <v>11</v>
      </c>
      <c r="B15" s="243" t="inlineStr">
        <is>
          <t>OFF-PA-10000007</t>
        </is>
      </c>
      <c r="C15" s="243" t="inlineStr">
        <is>
          <t>Corporate</t>
        </is>
      </c>
      <c r="D15" s="243" t="inlineStr">
        <is>
          <t>Paper</t>
        </is>
      </c>
      <c r="E15" s="243" t="n">
        <v>12000</v>
      </c>
      <c r="F15" s="243" t="n">
        <v>18000</v>
      </c>
      <c r="G15" s="166">
        <f>IF(F15&gt;=E15,"Met","Not Met")</f>
        <v/>
      </c>
      <c r="H15" s="166">
        <f>IF(F15&gt;=E15,0.1,0)</f>
        <v/>
      </c>
      <c r="I15" s="166">
        <f>IF(F15&gt;15000,"Excellent",IF(F15&gt;=10000,"Good","Average"))</f>
        <v/>
      </c>
      <c r="K15" s="309" t="n"/>
      <c r="L15" s="243" t="inlineStr">
        <is>
          <t>10K to 15K</t>
        </is>
      </c>
      <c r="M15" s="243" t="inlineStr">
        <is>
          <t>Good</t>
        </is>
      </c>
    </row>
    <row r="16">
      <c r="A16" s="243" t="n">
        <v>12</v>
      </c>
      <c r="B16" s="243" t="inlineStr">
        <is>
          <t>OFF-ST-10002574</t>
        </is>
      </c>
      <c r="C16" s="243" t="inlineStr">
        <is>
          <t>Home Office</t>
        </is>
      </c>
      <c r="D16" s="243" t="inlineStr">
        <is>
          <t>Storage</t>
        </is>
      </c>
      <c r="E16" s="243" t="n">
        <v>8000</v>
      </c>
      <c r="F16" s="243" t="n">
        <v>17000</v>
      </c>
      <c r="G16" s="166">
        <f>IF(F16&gt;=E16,"Met","Not Met")</f>
        <v/>
      </c>
      <c r="H16" s="166">
        <f>IF(F16&gt;=E16,0.1,0)</f>
        <v/>
      </c>
      <c r="I16" s="166">
        <f>IF(F16&gt;15000,"Excellent",IF(F16&gt;=10000,"Good","Average"))</f>
        <v/>
      </c>
      <c r="K16" s="310" t="n"/>
      <c r="L16" s="243" t="inlineStr">
        <is>
          <t>&lt;10K</t>
        </is>
      </c>
      <c r="M16" s="243" t="inlineStr">
        <is>
          <t>Average</t>
        </is>
      </c>
    </row>
    <row r="17">
      <c r="A17" s="243" t="n">
        <v>13</v>
      </c>
      <c r="B17" s="243" t="inlineStr">
        <is>
          <t>OFF-BI-10001658</t>
        </is>
      </c>
      <c r="C17" s="243" t="inlineStr">
        <is>
          <t>Consumer</t>
        </is>
      </c>
      <c r="D17" s="243" t="inlineStr">
        <is>
          <t>Binders</t>
        </is>
      </c>
      <c r="E17" s="243" t="n">
        <v>1000</v>
      </c>
      <c r="F17" s="243" t="n">
        <v>6000</v>
      </c>
      <c r="G17" s="166">
        <f>IF(F17&gt;=E17,"Met","Not Met")</f>
        <v/>
      </c>
      <c r="H17" s="166">
        <f>IF(F17&gt;=E17,0.1,0)</f>
        <v/>
      </c>
      <c r="I17" s="166">
        <f>IF(F17&gt;15000,"Excellent",IF(F17&gt;=10000,"Good","Average"))</f>
        <v/>
      </c>
    </row>
    <row r="18">
      <c r="A18" s="243" t="n">
        <v>14</v>
      </c>
      <c r="B18" s="243" t="inlineStr">
        <is>
          <t>TEC-PH-10002834</t>
        </is>
      </c>
      <c r="C18" s="243" t="inlineStr">
        <is>
          <t>Corporate</t>
        </is>
      </c>
      <c r="D18" s="243" t="inlineStr">
        <is>
          <t>Phones</t>
        </is>
      </c>
      <c r="E18" s="243" t="n">
        <v>5000</v>
      </c>
      <c r="F18" s="243" t="n">
        <v>19000</v>
      </c>
      <c r="G18" s="166">
        <f>IF(F18&gt;=E18,"Met","Not Met")</f>
        <v/>
      </c>
      <c r="H18" s="166">
        <f>IF(F18&gt;=E18,0.1,0)</f>
        <v/>
      </c>
      <c r="I18" s="166">
        <f>IF(F18&gt;15000,"Excellent",IF(F18&gt;=10000,"Good","Average"))</f>
        <v/>
      </c>
    </row>
    <row r="19">
      <c r="A19" s="243" t="n">
        <v>15</v>
      </c>
      <c r="B19" s="243" t="inlineStr">
        <is>
          <t>OFF-BI-10002160</t>
        </is>
      </c>
      <c r="C19" s="243" t="inlineStr">
        <is>
          <t>Home Office</t>
        </is>
      </c>
      <c r="D19" s="243" t="inlineStr">
        <is>
          <t>Binders</t>
        </is>
      </c>
      <c r="E19" s="243" t="n">
        <v>13000</v>
      </c>
      <c r="F19" s="243" t="n">
        <v>8000</v>
      </c>
      <c r="G19" s="166">
        <f>IF(F19&gt;=E19,"Met","Not Met")</f>
        <v/>
      </c>
      <c r="H19" s="166">
        <f>IF(F19&gt;=E19,0.1,0)</f>
        <v/>
      </c>
      <c r="I19" s="166">
        <f>IF(F19&gt;15000,"Excellent",IF(F19&gt;=10000,"Good","Average"))</f>
        <v/>
      </c>
    </row>
    <row r="20">
      <c r="A20" s="243" t="n">
        <v>16</v>
      </c>
      <c r="B20" s="243" t="inlineStr">
        <is>
          <t>OFF-AR-10004999</t>
        </is>
      </c>
      <c r="C20" s="243" t="inlineStr">
        <is>
          <t>Consumer</t>
        </is>
      </c>
      <c r="D20" s="243" t="inlineStr">
        <is>
          <t>Art</t>
        </is>
      </c>
      <c r="E20" s="243" t="n">
        <v>7000</v>
      </c>
      <c r="F20" s="243" t="n">
        <v>3000</v>
      </c>
      <c r="G20" s="166">
        <f>IF(F20&gt;=E20,"Met","Not Met")</f>
        <v/>
      </c>
      <c r="H20" s="166">
        <f>IF(F20&gt;=E20,0.1,0)</f>
        <v/>
      </c>
      <c r="I20" s="166">
        <f>IF(F20&gt;15000,"Excellent",IF(F20&gt;=10000,"Good","Average"))</f>
        <v/>
      </c>
    </row>
    <row r="21">
      <c r="A21" s="243" t="n">
        <v>17</v>
      </c>
      <c r="B21" s="243" t="inlineStr">
        <is>
          <t>TEC-AC-10003280</t>
        </is>
      </c>
      <c r="C21" s="243" t="inlineStr">
        <is>
          <t>Corporate</t>
        </is>
      </c>
      <c r="D21" s="243" t="inlineStr">
        <is>
          <t>Accessories</t>
        </is>
      </c>
      <c r="E21" s="243" t="n">
        <v>7000</v>
      </c>
      <c r="F21" s="243" t="n">
        <v>4000</v>
      </c>
      <c r="G21" s="166">
        <f>IF(F21&gt;=E21,"Met","Not Met")</f>
        <v/>
      </c>
      <c r="H21" s="166">
        <f>IF(F21&gt;=E21,0.1,0)</f>
        <v/>
      </c>
      <c r="I21" s="166">
        <f>IF(F21&gt;15000,"Excellent",IF(F21&gt;=10000,"Good","Average"))</f>
        <v/>
      </c>
    </row>
    <row r="22">
      <c r="A22" s="243" t="n">
        <v>18</v>
      </c>
      <c r="B22" s="243" t="inlineStr">
        <is>
          <t>OFF-PA-10003302</t>
        </is>
      </c>
      <c r="C22" s="243" t="inlineStr">
        <is>
          <t>Corporate</t>
        </is>
      </c>
      <c r="D22" s="243" t="inlineStr">
        <is>
          <t>Paper</t>
        </is>
      </c>
      <c r="E22" s="243" t="n">
        <v>9000</v>
      </c>
      <c r="F22" s="243" t="n">
        <v>17000</v>
      </c>
      <c r="G22" s="166">
        <f>IF(F22&gt;=E22,"Met","Not Met")</f>
        <v/>
      </c>
      <c r="H22" s="166">
        <f>IF(F22&gt;=E22,0.1,0)</f>
        <v/>
      </c>
      <c r="I22" s="166">
        <f>IF(F22&gt;15000,"Excellent",IF(F22&gt;=10000,"Good","Average"))</f>
        <v/>
      </c>
    </row>
    <row r="23">
      <c r="A23" s="243" t="n">
        <v>19</v>
      </c>
      <c r="B23" s="243" t="inlineStr">
        <is>
          <t>OFF-FA-10000621</t>
        </is>
      </c>
      <c r="C23" s="243" t="inlineStr">
        <is>
          <t>Home Office</t>
        </is>
      </c>
      <c r="D23" s="243" t="inlineStr">
        <is>
          <t>Tables</t>
        </is>
      </c>
      <c r="E23" s="243" t="n">
        <v>14000</v>
      </c>
      <c r="F23" s="243" t="n">
        <v>8000</v>
      </c>
      <c r="G23" s="166">
        <f>IF(F23&gt;=E23,"Met","Not Met")</f>
        <v/>
      </c>
      <c r="H23" s="166">
        <f>IF(F23&gt;=E23,0.1,0)</f>
        <v/>
      </c>
      <c r="I23" s="166">
        <f>IF(F23&gt;15000,"Excellent",IF(F23&gt;=10000,"Good","Average"))</f>
        <v/>
      </c>
    </row>
    <row r="24">
      <c r="A24" s="243" t="n">
        <v>20</v>
      </c>
      <c r="B24" s="243" t="inlineStr">
        <is>
          <t>TEC-PH-10003580</t>
        </is>
      </c>
      <c r="C24" s="243" t="inlineStr">
        <is>
          <t>Corporate</t>
        </is>
      </c>
      <c r="D24" s="243" t="inlineStr">
        <is>
          <t>Phones</t>
        </is>
      </c>
      <c r="E24" s="243" t="n">
        <v>11000</v>
      </c>
      <c r="F24" s="243" t="n">
        <v>12000</v>
      </c>
      <c r="G24" s="166">
        <f>IF(F24&gt;=E24,"Met","Not Met")</f>
        <v/>
      </c>
      <c r="H24" s="166">
        <f>IF(F24&gt;=E24,0.1,0)</f>
        <v/>
      </c>
      <c r="I24" s="166">
        <f>IF(F24&gt;15000,"Excellent",IF(F24&gt;=10000,"Good","Average"))</f>
        <v/>
      </c>
    </row>
  </sheetData>
  <mergeCells count="1">
    <mergeCell ref="K14:K16"/>
  </mergeCells>
  <pageMargins left="0.7" right="0.7" top="0.75" bottom="0.75" header="0.3" footer="0.3"/>
  <pageSetup orientation="portrait" paperSize="9"/>
</worksheet>
</file>

<file path=xl/worksheets/sheet7.xml><?xml version="1.0" encoding="utf-8"?>
<worksheet xmlns="http://schemas.openxmlformats.org/spreadsheetml/2006/main">
  <sheetPr>
    <tabColor rgb="FF7030A0"/>
    <outlinePr summaryBelow="1" summaryRight="1"/>
    <pageSetUpPr/>
  </sheetPr>
  <dimension ref="B1:J223"/>
  <sheetViews>
    <sheetView workbookViewId="0">
      <selection activeCell="D6" sqref="D6"/>
    </sheetView>
  </sheetViews>
  <sheetFormatPr baseColWidth="10" defaultColWidth="8.83203125" defaultRowHeight="14"/>
  <cols>
    <col width="8.83203125" customWidth="1" style="1" min="1" max="2"/>
    <col width="13" customWidth="1" style="1" min="3" max="3"/>
    <col width="32.1640625" bestFit="1" customWidth="1" style="1" min="4" max="4"/>
    <col width="8.83203125" customWidth="1" style="1" min="5" max="9"/>
    <col width="98.33203125" customWidth="1" style="1" min="10" max="10"/>
    <col width="8.83203125" customWidth="1" style="1" min="11" max="16384"/>
  </cols>
  <sheetData>
    <row r="1">
      <c r="B1" s="259" t="inlineStr">
        <is>
          <t>Highglight duplicates</t>
        </is>
      </c>
    </row>
    <row r="2" ht="44.5" customHeight="1">
      <c r="B2" s="260" t="inlineStr">
        <is>
          <t xml:space="preserve">Use tool + function(s) to count the amount of occurrences of numbers from the column GroupID </t>
        </is>
      </c>
    </row>
    <row r="3" ht="46.25" customHeight="1">
      <c r="B3" s="261" t="inlineStr">
        <is>
          <t xml:space="preserve">Use functions only to count the amount of occurrences of numbers from the column GroupID </t>
        </is>
      </c>
    </row>
    <row r="4">
      <c r="B4" s="261" t="n"/>
      <c r="C4" s="261" t="n"/>
      <c r="D4" s="261" t="n"/>
    </row>
    <row r="5" ht="30" customHeight="1">
      <c r="B5" s="261" t="inlineStr">
        <is>
          <t>Find number of unique IDs</t>
        </is>
      </c>
      <c r="F5" s="260" t="inlineStr">
        <is>
          <t>Single cell formula, not using column D</t>
        </is>
      </c>
      <c r="J5" s="62" t="inlineStr">
        <is>
          <t>Array formula</t>
        </is>
      </c>
    </row>
    <row r="6" ht="95" customHeight="1">
      <c r="B6" s="261" t="n"/>
      <c r="C6" s="261" t="n"/>
      <c r="D6" s="210">
        <f>SUMPRODUCT(1/D9:D223)</f>
        <v/>
      </c>
      <c r="F6" s="211">
        <f t="array" ref="F6">SUM(1/COUNTIF(C9:C223,C9:C223))</f>
        <v/>
      </c>
      <c r="J6" s="63" t="inlineStr">
        <is>
          <t xml:space="preserve">An array formula performs an operation on multiple values instead of a single value. The final result of an array formula can be either one item or an array of items, depending on how the formula is constructed. To work correctly, many array formulas need to be entered with CTRL+ SHIFT + ENTER. When you enter a formula this way, you'll see the formula wrapped in curly braces {} in the formula bar. </t>
        </is>
      </c>
    </row>
    <row r="7" ht="23" customHeight="1">
      <c r="J7" s="64" t="inlineStr">
        <is>
          <t>What is an Array?</t>
        </is>
      </c>
    </row>
    <row r="8" ht="114" customHeight="1">
      <c r="B8" s="65" t="inlineStr">
        <is>
          <t>ID</t>
        </is>
      </c>
      <c r="C8" s="65" t="inlineStr">
        <is>
          <t>GroupID</t>
        </is>
      </c>
      <c r="D8" s="65" t="inlineStr">
        <is>
          <t>Number of occurencies in GroupID</t>
        </is>
      </c>
      <c r="J8" s="66" t="inlineStr">
        <is>
          <t>An array is a collection of more than one item. Arrays in Excel appear inside curly brackets. For example, {1;2;3} or {"red","blue","green"}. The reason arrays are so common in Excel is that they map directly to cell ranges. Vertical ranges are represented as arrays that use semicolons, for example {100;125;150}. Horizontal ranges are represented as arrays that use commas, for example {"small","medium","large"}. A two dimensional range will use both semicolons and commas.</t>
        </is>
      </c>
    </row>
    <row r="9">
      <c r="B9" s="2" t="n">
        <v>4278359</v>
      </c>
      <c r="C9" s="2" t="n">
        <v>2654</v>
      </c>
      <c r="D9" s="67">
        <f>COUNTIF($C$9:$C$223,C9)</f>
        <v/>
      </c>
    </row>
    <row r="10">
      <c r="B10" s="2" t="n">
        <v>4211375</v>
      </c>
      <c r="C10" s="2" t="n">
        <v>2736</v>
      </c>
      <c r="D10" s="67">
        <f>COUNTIF($C$9:$C$223,C10)</f>
        <v/>
      </c>
    </row>
    <row r="11">
      <c r="B11" s="2" t="n">
        <v>4121715</v>
      </c>
      <c r="C11" s="2" t="n">
        <v>2780</v>
      </c>
      <c r="D11" s="67">
        <f>COUNTIF($C$9:$C$223,C11)</f>
        <v/>
      </c>
    </row>
    <row r="12">
      <c r="B12" s="2" t="n">
        <v>6028041</v>
      </c>
      <c r="C12" s="2" t="n">
        <v>2815</v>
      </c>
      <c r="D12" s="67">
        <f>COUNTIF($C$9:$C$223,C12)</f>
        <v/>
      </c>
    </row>
    <row r="13">
      <c r="B13" s="2" t="n">
        <v>4514558</v>
      </c>
      <c r="C13" s="2" t="n">
        <v>3648</v>
      </c>
      <c r="D13" s="67">
        <f>COUNTIF($C$9:$C$223,C13)</f>
        <v/>
      </c>
    </row>
    <row r="14">
      <c r="B14" s="2" t="n">
        <v>4285634</v>
      </c>
      <c r="C14" s="2" t="n">
        <v>3649</v>
      </c>
      <c r="D14" s="67">
        <f>COUNTIF($C$9:$C$223,C14)</f>
        <v/>
      </c>
    </row>
    <row r="15">
      <c r="B15" s="2" t="n">
        <v>4211807</v>
      </c>
      <c r="C15" s="2" t="n">
        <v>3673</v>
      </c>
      <c r="D15" s="67">
        <f>COUNTIF($C$9:$C$223,C15)</f>
        <v/>
      </c>
    </row>
    <row r="16">
      <c r="B16" s="2" t="n">
        <v>370526</v>
      </c>
      <c r="C16" s="2" t="n">
        <v>3705</v>
      </c>
      <c r="D16" s="67">
        <f>COUNTIF($C$9:$C$223,C16)</f>
        <v/>
      </c>
    </row>
    <row r="17">
      <c r="B17" s="2" t="n">
        <v>370626</v>
      </c>
      <c r="C17" s="2" t="n">
        <v>3706</v>
      </c>
      <c r="D17" s="67">
        <f>COUNTIF($C$9:$C$223,C17)</f>
        <v/>
      </c>
    </row>
    <row r="18">
      <c r="B18" s="2" t="n">
        <v>370726</v>
      </c>
      <c r="C18" s="2" t="n">
        <v>3707</v>
      </c>
      <c r="D18" s="67">
        <f>COUNTIF($C$9:$C$223,C18)</f>
        <v/>
      </c>
    </row>
    <row r="19">
      <c r="B19" s="2" t="n">
        <v>370826</v>
      </c>
      <c r="C19" s="2" t="n">
        <v>3708</v>
      </c>
      <c r="D19" s="67">
        <f>COUNTIF($C$9:$C$223,C19)</f>
        <v/>
      </c>
    </row>
    <row r="20">
      <c r="B20" s="2" t="n">
        <v>373726</v>
      </c>
      <c r="C20" s="2" t="n">
        <v>3737</v>
      </c>
      <c r="D20" s="67">
        <f>COUNTIF($C$9:$C$223,C20)</f>
        <v/>
      </c>
    </row>
    <row r="21">
      <c r="B21" s="2" t="n">
        <v>403226</v>
      </c>
      <c r="C21" s="2" t="n">
        <v>4032</v>
      </c>
      <c r="D21" s="67">
        <f>COUNTIF($C$9:$C$223,C21)</f>
        <v/>
      </c>
    </row>
    <row r="22">
      <c r="B22" s="2" t="n">
        <v>4494222</v>
      </c>
      <c r="C22" s="2" t="n">
        <v>4185</v>
      </c>
      <c r="D22" s="67">
        <f>COUNTIF($C$9:$C$223,C22)</f>
        <v/>
      </c>
    </row>
    <row r="23">
      <c r="B23" s="2" t="n">
        <v>4587275</v>
      </c>
      <c r="C23" s="2" t="n">
        <v>4185</v>
      </c>
      <c r="D23" s="67">
        <f>COUNTIF($C$9:$C$223,C23)</f>
        <v/>
      </c>
    </row>
    <row r="24">
      <c r="B24" s="2" t="n">
        <v>4211815</v>
      </c>
      <c r="C24" s="2" t="n">
        <v>4519</v>
      </c>
      <c r="D24" s="67">
        <f>COUNTIF($C$9:$C$223,C24)</f>
        <v/>
      </c>
    </row>
    <row r="25">
      <c r="B25" s="2" t="n">
        <v>4211510</v>
      </c>
      <c r="C25" s="2" t="n">
        <v>4716</v>
      </c>
      <c r="D25" s="67">
        <f>COUNTIF($C$9:$C$223,C25)</f>
        <v/>
      </c>
    </row>
    <row r="26">
      <c r="B26" s="2" t="n">
        <v>611649</v>
      </c>
      <c r="C26" s="2" t="n">
        <v>6116</v>
      </c>
      <c r="D26" s="67">
        <f>COUNTIF($C$9:$C$223,C26)</f>
        <v/>
      </c>
    </row>
    <row r="27">
      <c r="B27" s="2" t="n">
        <v>4178398</v>
      </c>
      <c r="C27" s="2" t="n">
        <v>6116</v>
      </c>
      <c r="D27" s="67">
        <f>COUNTIF($C$9:$C$223,C27)</f>
        <v/>
      </c>
    </row>
    <row r="28">
      <c r="B28" s="2" t="n">
        <v>4188298</v>
      </c>
      <c r="C28" s="2" t="n">
        <v>6536</v>
      </c>
      <c r="D28" s="67">
        <f>COUNTIF($C$9:$C$223,C28)</f>
        <v/>
      </c>
    </row>
    <row r="29">
      <c r="B29" s="2" t="n">
        <v>4211775</v>
      </c>
      <c r="C29" s="2" t="n">
        <v>6536</v>
      </c>
      <c r="D29" s="67">
        <f>COUNTIF($C$9:$C$223,C29)</f>
        <v/>
      </c>
    </row>
    <row r="30">
      <c r="B30" s="2" t="n">
        <v>4207456</v>
      </c>
      <c r="C30" s="2" t="n">
        <v>6538</v>
      </c>
      <c r="D30" s="67">
        <f>COUNTIF($C$9:$C$223,C30)</f>
        <v/>
      </c>
    </row>
    <row r="31">
      <c r="B31" s="2" t="n">
        <v>4278957</v>
      </c>
      <c r="C31" s="2" t="n">
        <v>6539</v>
      </c>
      <c r="D31" s="67">
        <f>COUNTIF($C$9:$C$223,C31)</f>
        <v/>
      </c>
    </row>
    <row r="32">
      <c r="B32" s="2" t="n">
        <v>4237267</v>
      </c>
      <c r="C32" s="2" t="n">
        <v>6542</v>
      </c>
      <c r="D32" s="67">
        <f>COUNTIF($C$9:$C$223,C32)</f>
        <v/>
      </c>
    </row>
    <row r="33">
      <c r="B33" s="2" t="n">
        <v>4210665</v>
      </c>
      <c r="C33" s="2" t="n">
        <v>6553</v>
      </c>
      <c r="D33" s="67">
        <f>COUNTIF($C$9:$C$223,C33)</f>
        <v/>
      </c>
    </row>
    <row r="34">
      <c r="B34" s="2" t="n">
        <v>4514553</v>
      </c>
      <c r="C34" s="2" t="n">
        <v>6558</v>
      </c>
      <c r="D34" s="67">
        <f>COUNTIF($C$9:$C$223,C34)</f>
        <v/>
      </c>
    </row>
    <row r="35">
      <c r="B35" s="2" t="n">
        <v>4666579</v>
      </c>
      <c r="C35" s="2" t="n">
        <v>6562</v>
      </c>
      <c r="D35" s="67">
        <f>COUNTIF($C$9:$C$223,C35)</f>
        <v/>
      </c>
    </row>
    <row r="36">
      <c r="B36" s="2" t="n">
        <v>4143187</v>
      </c>
      <c r="C36" s="2" t="n">
        <v>6575</v>
      </c>
      <c r="D36" s="67">
        <f>COUNTIF($C$9:$C$223,C36)</f>
        <v/>
      </c>
    </row>
    <row r="37">
      <c r="B37" s="2" t="n">
        <v>4210759</v>
      </c>
      <c r="C37" s="2" t="n">
        <v>6575</v>
      </c>
      <c r="D37" s="67">
        <f>COUNTIF($C$9:$C$223,C37)</f>
        <v/>
      </c>
    </row>
    <row r="38">
      <c r="B38" s="2" t="n">
        <v>4565452</v>
      </c>
      <c r="C38" s="2" t="n">
        <v>6589</v>
      </c>
      <c r="D38" s="67">
        <f>COUNTIF($C$9:$C$223,C38)</f>
        <v/>
      </c>
    </row>
    <row r="39">
      <c r="B39" s="2" t="n">
        <v>4211622</v>
      </c>
      <c r="C39" s="2" t="n">
        <v>6590</v>
      </c>
      <c r="D39" s="67">
        <f>COUNTIF($C$9:$C$223,C39)</f>
        <v/>
      </c>
    </row>
    <row r="40">
      <c r="B40" s="2" t="n">
        <v>4227155</v>
      </c>
      <c r="C40" s="2" t="n">
        <v>6590</v>
      </c>
      <c r="D40" s="67">
        <f>COUNTIF($C$9:$C$223,C40)</f>
        <v/>
      </c>
    </row>
    <row r="41">
      <c r="B41" s="2" t="n">
        <v>4184169</v>
      </c>
      <c r="C41" s="2" t="n">
        <v>6628</v>
      </c>
      <c r="D41" s="67">
        <f>COUNTIF($C$9:$C$223,C41)</f>
        <v/>
      </c>
    </row>
    <row r="42">
      <c r="B42" s="2" t="n">
        <v>4112282</v>
      </c>
      <c r="C42" s="2" t="n">
        <v>6629</v>
      </c>
      <c r="D42" s="67">
        <f>COUNTIF($C$9:$C$223,C42)</f>
        <v/>
      </c>
    </row>
    <row r="43">
      <c r="B43" s="2" t="n">
        <v>4211566</v>
      </c>
      <c r="C43" s="2" t="n">
        <v>6632</v>
      </c>
      <c r="D43" s="67">
        <f>COUNTIF($C$9:$C$223,C43)</f>
        <v/>
      </c>
    </row>
    <row r="44">
      <c r="B44" s="2" t="n">
        <v>4270473</v>
      </c>
      <c r="C44" s="2" t="n">
        <v>6641</v>
      </c>
      <c r="D44" s="67">
        <f>COUNTIF($C$9:$C$223,C44)</f>
        <v/>
      </c>
    </row>
    <row r="45">
      <c r="B45" s="2" t="n">
        <v>6005331</v>
      </c>
      <c r="C45" s="2" t="n">
        <v>10197</v>
      </c>
      <c r="D45" s="67">
        <f>COUNTIF($C$9:$C$223,C45)</f>
        <v/>
      </c>
    </row>
    <row r="46">
      <c r="B46" s="2" t="n">
        <v>6005755</v>
      </c>
      <c r="C46" s="2" t="n">
        <v>10288</v>
      </c>
      <c r="D46" s="67">
        <f>COUNTIF($C$9:$C$223,C46)</f>
        <v/>
      </c>
    </row>
    <row r="47">
      <c r="B47" s="2" t="n">
        <v>6012451</v>
      </c>
      <c r="C47" s="2" t="n">
        <v>10928</v>
      </c>
      <c r="D47" s="67">
        <f>COUNTIF($C$9:$C$223,C47)</f>
        <v/>
      </c>
    </row>
    <row r="48">
      <c r="B48" s="2" t="n">
        <v>6030286</v>
      </c>
      <c r="C48" s="2" t="n">
        <v>11478</v>
      </c>
      <c r="D48" s="67">
        <f>COUNTIF($C$9:$C$223,C48)</f>
        <v/>
      </c>
    </row>
    <row r="49">
      <c r="B49" s="2" t="n">
        <v>6022750</v>
      </c>
      <c r="C49" s="2" t="n">
        <v>11946</v>
      </c>
      <c r="D49" s="67">
        <f>COUNTIF($C$9:$C$223,C49)</f>
        <v/>
      </c>
    </row>
    <row r="50">
      <c r="B50" s="2" t="n">
        <v>6022752</v>
      </c>
      <c r="C50" s="2" t="n">
        <v>11947</v>
      </c>
      <c r="D50" s="67">
        <f>COUNTIF($C$9:$C$223,C50)</f>
        <v/>
      </c>
    </row>
    <row r="51">
      <c r="B51" s="2" t="n">
        <v>6031916</v>
      </c>
      <c r="C51" s="2" t="n">
        <v>11954</v>
      </c>
      <c r="D51" s="67">
        <f>COUNTIF($C$9:$C$223,C51)</f>
        <v/>
      </c>
    </row>
    <row r="52">
      <c r="B52" s="2" t="n">
        <v>6031821</v>
      </c>
      <c r="C52" s="2" t="n">
        <v>13670</v>
      </c>
      <c r="D52" s="67">
        <f>COUNTIF($C$9:$C$223,C52)</f>
        <v/>
      </c>
    </row>
    <row r="53">
      <c r="B53" s="2" t="n">
        <v>6044729</v>
      </c>
      <c r="C53" s="2" t="n">
        <v>13971</v>
      </c>
      <c r="D53" s="67">
        <f>COUNTIF($C$9:$C$223,C53)</f>
        <v/>
      </c>
    </row>
    <row r="54">
      <c r="B54" s="2" t="n">
        <v>6044688</v>
      </c>
      <c r="C54" s="2" t="n">
        <v>13972</v>
      </c>
      <c r="D54" s="67">
        <f>COUNTIF($C$9:$C$223,C54)</f>
        <v/>
      </c>
    </row>
    <row r="55">
      <c r="B55" s="2" t="n">
        <v>6036424</v>
      </c>
      <c r="C55" s="2" t="n">
        <v>14149</v>
      </c>
      <c r="D55" s="67">
        <f>COUNTIF($C$9:$C$223,C55)</f>
        <v/>
      </c>
    </row>
    <row r="56">
      <c r="B56" s="2" t="n">
        <v>6013938</v>
      </c>
      <c r="C56" s="2" t="n">
        <v>32002</v>
      </c>
      <c r="D56" s="67">
        <f>COUNTIF($C$9:$C$223,C56)</f>
        <v/>
      </c>
    </row>
    <row r="57">
      <c r="B57" s="2" t="n">
        <v>4629920</v>
      </c>
      <c r="C57" s="2" t="n">
        <v>32005</v>
      </c>
      <c r="D57" s="67">
        <f>COUNTIF($C$9:$C$223,C57)</f>
        <v/>
      </c>
    </row>
    <row r="58">
      <c r="B58" s="2" t="n">
        <v>4629921</v>
      </c>
      <c r="C58" s="2" t="n">
        <v>32005</v>
      </c>
      <c r="D58" s="67">
        <f>COUNTIF($C$9:$C$223,C58)</f>
        <v/>
      </c>
    </row>
    <row r="59">
      <c r="B59" s="2" t="n">
        <v>4111998</v>
      </c>
      <c r="C59" s="2" t="n">
        <v>32009</v>
      </c>
      <c r="D59" s="67">
        <f>COUNTIF($C$9:$C$223,C59)</f>
        <v/>
      </c>
    </row>
    <row r="60">
      <c r="B60" s="2" t="n">
        <v>4234240</v>
      </c>
      <c r="C60" s="2" t="n">
        <v>32009</v>
      </c>
      <c r="D60" s="67">
        <f>COUNTIF($C$9:$C$223,C60)</f>
        <v/>
      </c>
    </row>
    <row r="61">
      <c r="B61" s="2" t="n">
        <v>4495412</v>
      </c>
      <c r="C61" s="2" t="n">
        <v>32009</v>
      </c>
      <c r="D61" s="67">
        <f>COUNTIF($C$9:$C$223,C61)</f>
        <v/>
      </c>
    </row>
    <row r="62">
      <c r="B62" s="2" t="n">
        <v>4107085</v>
      </c>
      <c r="C62" s="2" t="n">
        <v>32013</v>
      </c>
      <c r="D62" s="67">
        <f>COUNTIF($C$9:$C$223,C62)</f>
        <v/>
      </c>
    </row>
    <row r="63">
      <c r="B63" s="2" t="n">
        <v>4254606</v>
      </c>
      <c r="C63" s="2" t="n">
        <v>32013</v>
      </c>
      <c r="D63" s="67">
        <f>COUNTIF($C$9:$C$223,C63)</f>
        <v/>
      </c>
    </row>
    <row r="64">
      <c r="B64" s="2" t="n">
        <v>4107767</v>
      </c>
      <c r="C64" s="2" t="n">
        <v>32014</v>
      </c>
      <c r="D64" s="67">
        <f>COUNTIF($C$9:$C$223,C64)</f>
        <v/>
      </c>
    </row>
    <row r="65">
      <c r="B65" s="2" t="n">
        <v>4189131</v>
      </c>
      <c r="C65" s="2" t="n">
        <v>32014</v>
      </c>
      <c r="D65" s="67">
        <f>COUNTIF($C$9:$C$223,C65)</f>
        <v/>
      </c>
    </row>
    <row r="66">
      <c r="B66" s="2" t="n">
        <v>4107084</v>
      </c>
      <c r="C66" s="2" t="n">
        <v>32015</v>
      </c>
      <c r="D66" s="67">
        <f>COUNTIF($C$9:$C$223,C66)</f>
        <v/>
      </c>
    </row>
    <row r="67">
      <c r="B67" s="2" t="n">
        <v>4107082</v>
      </c>
      <c r="C67" s="2" t="n">
        <v>32016</v>
      </c>
      <c r="D67" s="67">
        <f>COUNTIF($C$9:$C$223,C67)</f>
        <v/>
      </c>
    </row>
    <row r="68">
      <c r="B68" s="2" t="n">
        <v>4107783</v>
      </c>
      <c r="C68" s="2" t="n">
        <v>32034</v>
      </c>
      <c r="D68" s="67">
        <f>COUNTIF($C$9:$C$223,C68)</f>
        <v/>
      </c>
    </row>
    <row r="69">
      <c r="B69" s="2" t="n">
        <v>4234429</v>
      </c>
      <c r="C69" s="2" t="n">
        <v>32034</v>
      </c>
      <c r="D69" s="67">
        <f>COUNTIF($C$9:$C$223,C69)</f>
        <v/>
      </c>
    </row>
    <row r="70">
      <c r="B70" s="2" t="n">
        <v>4107081</v>
      </c>
      <c r="C70" s="2" t="n">
        <v>32039</v>
      </c>
      <c r="D70" s="67">
        <f>COUNTIF($C$9:$C$223,C70)</f>
        <v/>
      </c>
    </row>
    <row r="71">
      <c r="B71" s="2" t="n">
        <v>4211553</v>
      </c>
      <c r="C71" s="2" t="n">
        <v>32039</v>
      </c>
      <c r="D71" s="67">
        <f>COUNTIF($C$9:$C$223,C71)</f>
        <v/>
      </c>
    </row>
    <row r="72">
      <c r="B72" s="2" t="n">
        <v>4140806</v>
      </c>
      <c r="C72" s="2" t="n">
        <v>32054</v>
      </c>
      <c r="D72" s="67">
        <f>COUNTIF($C$9:$C$223,C72)</f>
        <v/>
      </c>
    </row>
    <row r="73">
      <c r="B73" s="2" t="n">
        <v>4142865</v>
      </c>
      <c r="C73" s="2" t="n">
        <v>32062</v>
      </c>
      <c r="D73" s="67">
        <f>COUNTIF($C$9:$C$223,C73)</f>
        <v/>
      </c>
    </row>
    <row r="74">
      <c r="B74" s="2" t="n">
        <v>6013936</v>
      </c>
      <c r="C74" s="2" t="n">
        <v>32068</v>
      </c>
      <c r="D74" s="67">
        <f>COUNTIF($C$9:$C$223,C74)</f>
        <v/>
      </c>
    </row>
    <row r="75">
      <c r="B75" s="2" t="n">
        <v>4248204</v>
      </c>
      <c r="C75" s="2" t="n">
        <v>32072</v>
      </c>
      <c r="D75" s="67">
        <f>COUNTIF($C$9:$C$223,C75)</f>
        <v/>
      </c>
    </row>
    <row r="76">
      <c r="B76" s="2" t="n">
        <v>4211639</v>
      </c>
      <c r="C76" s="2" t="n">
        <v>32073</v>
      </c>
      <c r="D76" s="67">
        <f>COUNTIF($C$9:$C$223,C76)</f>
        <v/>
      </c>
    </row>
    <row r="77">
      <c r="B77" s="2" t="n">
        <v>4239601</v>
      </c>
      <c r="C77" s="2" t="n">
        <v>32123</v>
      </c>
      <c r="D77" s="67">
        <f>COUNTIF($C$9:$C$223,C77)</f>
        <v/>
      </c>
    </row>
    <row r="78">
      <c r="B78" s="2" t="n">
        <v>4119589</v>
      </c>
      <c r="C78" s="2" t="n">
        <v>32138</v>
      </c>
      <c r="D78" s="67">
        <f>COUNTIF($C$9:$C$223,C78)</f>
        <v/>
      </c>
    </row>
    <row r="79">
      <c r="B79" s="2" t="n">
        <v>4211888</v>
      </c>
      <c r="C79" s="2" t="n">
        <v>32138</v>
      </c>
      <c r="D79" s="67">
        <f>COUNTIF($C$9:$C$223,C79)</f>
        <v/>
      </c>
    </row>
    <row r="80">
      <c r="B80" s="2" t="n">
        <v>4120017</v>
      </c>
      <c r="C80" s="2" t="n">
        <v>32140</v>
      </c>
      <c r="D80" s="67">
        <f>COUNTIF($C$9:$C$223,C80)</f>
        <v/>
      </c>
    </row>
    <row r="81">
      <c r="B81" s="2" t="n">
        <v>4141270</v>
      </c>
      <c r="C81" s="2" t="n">
        <v>32140</v>
      </c>
      <c r="D81" s="67">
        <f>COUNTIF($C$9:$C$223,C81)</f>
        <v/>
      </c>
    </row>
    <row r="82">
      <c r="B82" s="2" t="n">
        <v>4211610</v>
      </c>
      <c r="C82" s="2" t="n">
        <v>32140</v>
      </c>
      <c r="D82" s="67">
        <f>COUNTIF($C$9:$C$223,C82)</f>
        <v/>
      </c>
    </row>
    <row r="83">
      <c r="B83" s="2" t="n">
        <v>4121667</v>
      </c>
      <c r="C83" s="2" t="n">
        <v>32184</v>
      </c>
      <c r="D83" s="67">
        <f>COUNTIF($C$9:$C$223,C83)</f>
        <v/>
      </c>
    </row>
    <row r="84">
      <c r="B84" s="2" t="n">
        <v>4128598</v>
      </c>
      <c r="C84" s="2" t="n">
        <v>32184</v>
      </c>
      <c r="D84" s="67">
        <f>COUNTIF($C$9:$C$223,C84)</f>
        <v/>
      </c>
    </row>
    <row r="85">
      <c r="B85" s="2" t="n">
        <v>4189936</v>
      </c>
      <c r="C85" s="2" t="n">
        <v>32192</v>
      </c>
      <c r="D85" s="67">
        <f>COUNTIF($C$9:$C$223,C85)</f>
        <v/>
      </c>
    </row>
    <row r="86">
      <c r="B86" s="2" t="n">
        <v>6031962</v>
      </c>
      <c r="C86" s="2" t="n">
        <v>32198</v>
      </c>
      <c r="D86" s="67">
        <f>COUNTIF($C$9:$C$223,C86)</f>
        <v/>
      </c>
    </row>
    <row r="87">
      <c r="B87" s="2" t="n">
        <v>4177430</v>
      </c>
      <c r="C87" s="2" t="n">
        <v>32269</v>
      </c>
      <c r="D87" s="67">
        <f>COUNTIF($C$9:$C$223,C87)</f>
        <v/>
      </c>
    </row>
    <row r="88">
      <c r="B88" s="2" t="n">
        <v>4177431</v>
      </c>
      <c r="C88" s="2" t="n">
        <v>32270</v>
      </c>
      <c r="D88" s="67">
        <f>COUNTIF($C$9:$C$223,C88)</f>
        <v/>
      </c>
    </row>
    <row r="89">
      <c r="B89" s="2" t="n">
        <v>4140327</v>
      </c>
      <c r="C89" s="2" t="n">
        <v>32271</v>
      </c>
      <c r="D89" s="67">
        <f>COUNTIF($C$9:$C$223,C89)</f>
        <v/>
      </c>
    </row>
    <row r="90">
      <c r="B90" s="2" t="n">
        <v>4211624</v>
      </c>
      <c r="C90" s="2" t="n">
        <v>32271</v>
      </c>
      <c r="D90" s="67">
        <f>COUNTIF($C$9:$C$223,C90)</f>
        <v/>
      </c>
    </row>
    <row r="91">
      <c r="B91" s="2" t="n">
        <v>4128594</v>
      </c>
      <c r="C91" s="2" t="n">
        <v>32291</v>
      </c>
      <c r="D91" s="67">
        <f>COUNTIF($C$9:$C$223,C91)</f>
        <v/>
      </c>
    </row>
    <row r="92">
      <c r="B92" s="2" t="n">
        <v>4140430</v>
      </c>
      <c r="C92" s="2" t="n">
        <v>32291</v>
      </c>
      <c r="D92" s="67">
        <f>COUNTIF($C$9:$C$223,C92)</f>
        <v/>
      </c>
    </row>
    <row r="93">
      <c r="B93" s="2" t="n">
        <v>4141300</v>
      </c>
      <c r="C93" s="2" t="n">
        <v>32293</v>
      </c>
      <c r="D93" s="67">
        <f>COUNTIF($C$9:$C$223,C93)</f>
        <v/>
      </c>
    </row>
    <row r="94">
      <c r="B94" s="2" t="n">
        <v>4142135</v>
      </c>
      <c r="C94" s="2" t="n">
        <v>32316</v>
      </c>
      <c r="D94" s="67">
        <f>COUNTIF($C$9:$C$223,C94)</f>
        <v/>
      </c>
    </row>
    <row r="95">
      <c r="B95" s="2" t="n">
        <v>4211651</v>
      </c>
      <c r="C95" s="2" t="n">
        <v>32316</v>
      </c>
      <c r="D95" s="67">
        <f>COUNTIF($C$9:$C$223,C95)</f>
        <v/>
      </c>
    </row>
    <row r="96">
      <c r="B96" s="2" t="n">
        <v>4128593</v>
      </c>
      <c r="C96" s="2" t="n">
        <v>32348</v>
      </c>
      <c r="D96" s="67">
        <f>COUNTIF($C$9:$C$223,C96)</f>
        <v/>
      </c>
    </row>
    <row r="97">
      <c r="B97" s="2" t="n">
        <v>4509912</v>
      </c>
      <c r="C97" s="2" t="n">
        <v>32348</v>
      </c>
      <c r="D97" s="67">
        <f>COUNTIF($C$9:$C$223,C97)</f>
        <v/>
      </c>
    </row>
    <row r="98">
      <c r="B98" s="2" t="n">
        <v>4142236</v>
      </c>
      <c r="C98" s="2" t="n">
        <v>32449</v>
      </c>
      <c r="D98" s="67">
        <f>COUNTIF($C$9:$C$223,C98)</f>
        <v/>
      </c>
    </row>
    <row r="99">
      <c r="B99" s="2" t="n">
        <v>4268659</v>
      </c>
      <c r="C99" s="2" t="n">
        <v>32494</v>
      </c>
      <c r="D99" s="67">
        <f>COUNTIF($C$9:$C$223,C99)</f>
        <v/>
      </c>
    </row>
    <row r="100">
      <c r="B100" s="2" t="n">
        <v>4255563</v>
      </c>
      <c r="C100" s="2" t="n">
        <v>32498</v>
      </c>
      <c r="D100" s="67">
        <f>COUNTIF($C$9:$C$223,C100)</f>
        <v/>
      </c>
    </row>
    <row r="101">
      <c r="B101" s="2" t="n">
        <v>4142822</v>
      </c>
      <c r="C101" s="2" t="n">
        <v>32523</v>
      </c>
      <c r="D101" s="67">
        <f>COUNTIF($C$9:$C$223,C101)</f>
        <v/>
      </c>
    </row>
    <row r="102">
      <c r="B102" s="2" t="n">
        <v>4153707</v>
      </c>
      <c r="C102" s="2" t="n">
        <v>32523</v>
      </c>
      <c r="D102" s="67">
        <f>COUNTIF($C$9:$C$223,C102)</f>
        <v/>
      </c>
    </row>
    <row r="103">
      <c r="B103" s="2" t="n">
        <v>4153718</v>
      </c>
      <c r="C103" s="2" t="n">
        <v>32523</v>
      </c>
      <c r="D103" s="67">
        <f>COUNTIF($C$9:$C$223,C103)</f>
        <v/>
      </c>
    </row>
    <row r="104">
      <c r="B104" s="2" t="n">
        <v>4208160</v>
      </c>
      <c r="C104" s="2" t="n">
        <v>32523</v>
      </c>
      <c r="D104" s="67">
        <f>COUNTIF($C$9:$C$223,C104)</f>
        <v/>
      </c>
    </row>
    <row r="105">
      <c r="B105" s="2" t="n">
        <v>4211655</v>
      </c>
      <c r="C105" s="2" t="n">
        <v>32523</v>
      </c>
      <c r="D105" s="67">
        <f>COUNTIF($C$9:$C$223,C105)</f>
        <v/>
      </c>
    </row>
    <row r="106">
      <c r="B106" s="2" t="n">
        <v>4509376</v>
      </c>
      <c r="C106" s="2" t="n">
        <v>32523</v>
      </c>
      <c r="D106" s="67">
        <f>COUNTIF($C$9:$C$223,C106)</f>
        <v/>
      </c>
    </row>
    <row r="107">
      <c r="B107" s="2" t="n">
        <v>6007973</v>
      </c>
      <c r="C107" s="2" t="n">
        <v>32523</v>
      </c>
      <c r="D107" s="67">
        <f>COUNTIF($C$9:$C$223,C107)</f>
        <v/>
      </c>
    </row>
    <row r="108">
      <c r="B108" s="2" t="n">
        <v>4495930</v>
      </c>
      <c r="C108" s="2" t="n">
        <v>32524</v>
      </c>
      <c r="D108" s="67">
        <f>COUNTIF($C$9:$C$223,C108)</f>
        <v/>
      </c>
    </row>
    <row r="109">
      <c r="B109" s="2" t="n">
        <v>4495935</v>
      </c>
      <c r="C109" s="2" t="n">
        <v>32524</v>
      </c>
      <c r="D109" s="67">
        <f>COUNTIF($C$9:$C$223,C109)</f>
        <v/>
      </c>
    </row>
    <row r="110">
      <c r="B110" s="2" t="n">
        <v>4142823</v>
      </c>
      <c r="C110" s="2" t="n">
        <v>32526</v>
      </c>
      <c r="D110" s="67">
        <f>COUNTIF($C$9:$C$223,C110)</f>
        <v/>
      </c>
    </row>
    <row r="111">
      <c r="B111" s="2" t="n">
        <v>4211713</v>
      </c>
      <c r="C111" s="2" t="n">
        <v>32526</v>
      </c>
      <c r="D111" s="67">
        <f>COUNTIF($C$9:$C$223,C111)</f>
        <v/>
      </c>
    </row>
    <row r="112">
      <c r="B112" s="2" t="n">
        <v>4585040</v>
      </c>
      <c r="C112" s="2" t="n">
        <v>32526</v>
      </c>
      <c r="D112" s="67">
        <f>COUNTIF($C$9:$C$223,C112)</f>
        <v/>
      </c>
    </row>
    <row r="113">
      <c r="B113" s="2" t="n">
        <v>4514554</v>
      </c>
      <c r="C113" s="2" t="n">
        <v>32556</v>
      </c>
      <c r="D113" s="67">
        <f>COUNTIF($C$9:$C$223,C113)</f>
        <v/>
      </c>
    </row>
    <row r="114">
      <c r="B114" s="2" t="n">
        <v>4211714</v>
      </c>
      <c r="C114" s="2" t="n">
        <v>32557</v>
      </c>
      <c r="D114" s="67">
        <f>COUNTIF($C$9:$C$223,C114)</f>
        <v/>
      </c>
    </row>
    <row r="115">
      <c r="B115" s="2" t="n">
        <v>4563044</v>
      </c>
      <c r="C115" s="2" t="n">
        <v>33299</v>
      </c>
      <c r="D115" s="67">
        <f>COUNTIF($C$9:$C$223,C115)</f>
        <v/>
      </c>
    </row>
    <row r="116">
      <c r="B116" s="2" t="n">
        <v>4211866</v>
      </c>
      <c r="C116" s="2" t="n">
        <v>40490</v>
      </c>
      <c r="D116" s="67">
        <f>COUNTIF($C$9:$C$223,C116)</f>
        <v/>
      </c>
    </row>
    <row r="117">
      <c r="B117" s="2" t="n">
        <v>4522933</v>
      </c>
      <c r="C117" s="2" t="n">
        <v>41239</v>
      </c>
      <c r="D117" s="67">
        <f>COUNTIF($C$9:$C$223,C117)</f>
        <v/>
      </c>
    </row>
    <row r="118">
      <c r="B118" s="2" t="n">
        <v>4522934</v>
      </c>
      <c r="C118" s="2" t="n">
        <v>41239</v>
      </c>
      <c r="D118" s="67">
        <f>COUNTIF($C$9:$C$223,C118)</f>
        <v/>
      </c>
    </row>
    <row r="119">
      <c r="B119" s="2" t="n">
        <v>4173941</v>
      </c>
      <c r="C119" s="2" t="n">
        <v>41669</v>
      </c>
      <c r="D119" s="67">
        <f>COUNTIF($C$9:$C$223,C119)</f>
        <v/>
      </c>
    </row>
    <row r="120">
      <c r="B120" s="2" t="n">
        <v>4185661</v>
      </c>
      <c r="C120" s="2" t="n">
        <v>41669</v>
      </c>
      <c r="D120" s="67">
        <f>COUNTIF($C$9:$C$223,C120)</f>
        <v/>
      </c>
    </row>
    <row r="121">
      <c r="B121" s="2" t="n">
        <v>4164133</v>
      </c>
      <c r="C121" s="2" t="n">
        <v>41677</v>
      </c>
      <c r="D121" s="67">
        <f>COUNTIF($C$9:$C$223,C121)</f>
        <v/>
      </c>
    </row>
    <row r="122">
      <c r="B122" s="2" t="n">
        <v>4211741</v>
      </c>
      <c r="C122" s="2" t="n">
        <v>41677</v>
      </c>
      <c r="D122" s="67">
        <f>COUNTIF($C$9:$C$223,C122)</f>
        <v/>
      </c>
    </row>
    <row r="123">
      <c r="B123" s="2" t="n">
        <v>4162857</v>
      </c>
      <c r="C123" s="2" t="n">
        <v>41678</v>
      </c>
      <c r="D123" s="67">
        <f>COUNTIF($C$9:$C$223,C123)</f>
        <v/>
      </c>
    </row>
    <row r="124">
      <c r="B124" s="2" t="n">
        <v>4173975</v>
      </c>
      <c r="C124" s="2" t="n">
        <v>41678</v>
      </c>
      <c r="D124" s="67">
        <f>COUNTIF($C$9:$C$223,C124)</f>
        <v/>
      </c>
    </row>
    <row r="125">
      <c r="B125" s="2" t="n">
        <v>6035364</v>
      </c>
      <c r="C125" s="2" t="n">
        <v>41897</v>
      </c>
      <c r="D125" s="67">
        <f>COUNTIF($C$9:$C$223,C125)</f>
        <v/>
      </c>
    </row>
    <row r="126">
      <c r="B126" s="2" t="n">
        <v>4175442</v>
      </c>
      <c r="C126" s="2" t="n">
        <v>42003</v>
      </c>
      <c r="D126" s="67">
        <f>COUNTIF($C$9:$C$223,C126)</f>
        <v/>
      </c>
    </row>
    <row r="127">
      <c r="B127" s="2" t="n">
        <v>4210857</v>
      </c>
      <c r="C127" s="2" t="n">
        <v>42003</v>
      </c>
      <c r="D127" s="67">
        <f>COUNTIF($C$9:$C$223,C127)</f>
        <v/>
      </c>
    </row>
    <row r="128">
      <c r="B128" s="2" t="n">
        <v>4211758</v>
      </c>
      <c r="C128" s="2" t="n">
        <v>42610</v>
      </c>
      <c r="D128" s="67">
        <f>COUNTIF($C$9:$C$223,C128)</f>
        <v/>
      </c>
    </row>
    <row r="129">
      <c r="B129" s="2" t="n">
        <v>4206482</v>
      </c>
      <c r="C129" s="2" t="n">
        <v>43093</v>
      </c>
      <c r="D129" s="67">
        <f>COUNTIF($C$9:$C$223,C129)</f>
        <v/>
      </c>
    </row>
    <row r="130">
      <c r="B130" s="2" t="n">
        <v>4631648</v>
      </c>
      <c r="C130" s="2" t="n">
        <v>43675</v>
      </c>
      <c r="D130" s="67">
        <f>COUNTIF($C$9:$C$223,C130)</f>
        <v/>
      </c>
    </row>
    <row r="131">
      <c r="B131" s="2" t="n">
        <v>4211862</v>
      </c>
      <c r="C131" s="2" t="n">
        <v>43857</v>
      </c>
      <c r="D131" s="67">
        <f>COUNTIF($C$9:$C$223,C131)</f>
        <v/>
      </c>
    </row>
    <row r="132">
      <c r="B132" s="2" t="n">
        <v>4211805</v>
      </c>
      <c r="C132" s="2" t="n">
        <v>44294</v>
      </c>
      <c r="D132" s="67">
        <f>COUNTIF($C$9:$C$223,C132)</f>
        <v/>
      </c>
    </row>
    <row r="133">
      <c r="B133" s="2" t="n">
        <v>4184286</v>
      </c>
      <c r="C133" s="2" t="n">
        <v>44309</v>
      </c>
      <c r="D133" s="67">
        <f>COUNTIF($C$9:$C$223,C133)</f>
        <v/>
      </c>
    </row>
    <row r="134">
      <c r="B134" s="2" t="n">
        <v>4614801</v>
      </c>
      <c r="C134" s="2" t="n">
        <v>44771</v>
      </c>
      <c r="D134" s="67">
        <f>COUNTIF($C$9:$C$223,C134)</f>
        <v/>
      </c>
    </row>
    <row r="135">
      <c r="B135" s="2" t="n">
        <v>4211845</v>
      </c>
      <c r="C135" s="2" t="n">
        <v>44772</v>
      </c>
      <c r="D135" s="67">
        <f>COUNTIF($C$9:$C$223,C135)</f>
        <v/>
      </c>
    </row>
    <row r="136">
      <c r="B136" s="2" t="n">
        <v>6008527</v>
      </c>
      <c r="C136" s="2" t="n">
        <v>44809</v>
      </c>
      <c r="D136" s="67">
        <f>COUNTIF($C$9:$C$223,C136)</f>
        <v/>
      </c>
    </row>
    <row r="137">
      <c r="B137" s="2" t="n">
        <v>4198367</v>
      </c>
      <c r="C137" s="2" t="n">
        <v>45590</v>
      </c>
      <c r="D137" s="67">
        <f>COUNTIF($C$9:$C$223,C137)</f>
        <v/>
      </c>
    </row>
    <row r="138">
      <c r="B138" s="2" t="n">
        <v>4225033</v>
      </c>
      <c r="C138" s="2" t="n">
        <v>48989</v>
      </c>
      <c r="D138" s="67">
        <f>COUNTIF($C$9:$C$223,C138)</f>
        <v/>
      </c>
    </row>
    <row r="139">
      <c r="B139" s="2" t="n">
        <v>4624645</v>
      </c>
      <c r="C139" s="2" t="n">
        <v>50163</v>
      </c>
      <c r="D139" s="67">
        <f>COUNTIF($C$9:$C$223,C139)</f>
        <v/>
      </c>
    </row>
    <row r="140">
      <c r="B140" s="2" t="n">
        <v>4246901</v>
      </c>
      <c r="C140" s="2" t="n">
        <v>50951</v>
      </c>
      <c r="D140" s="67">
        <f>COUNTIF($C$9:$C$223,C140)</f>
        <v/>
      </c>
    </row>
    <row r="141">
      <c r="B141" s="2" t="n">
        <v>6024109</v>
      </c>
      <c r="C141" s="2" t="n">
        <v>53550</v>
      </c>
      <c r="D141" s="67">
        <f>COUNTIF($C$9:$C$223,C141)</f>
        <v/>
      </c>
    </row>
    <row r="142">
      <c r="B142" s="2" t="n">
        <v>6024106</v>
      </c>
      <c r="C142" s="2" t="n">
        <v>54271</v>
      </c>
      <c r="D142" s="67">
        <f>COUNTIF($C$9:$C$223,C142)</f>
        <v/>
      </c>
    </row>
    <row r="143">
      <c r="B143" s="2" t="n">
        <v>4545430</v>
      </c>
      <c r="C143" s="2" t="n">
        <v>54821</v>
      </c>
      <c r="D143" s="67">
        <f>COUNTIF($C$9:$C$223,C143)</f>
        <v/>
      </c>
    </row>
    <row r="144">
      <c r="B144" s="2" t="n">
        <v>4499858</v>
      </c>
      <c r="C144" s="2" t="n">
        <v>55013</v>
      </c>
      <c r="D144" s="67">
        <f>COUNTIF($C$9:$C$223,C144)</f>
        <v/>
      </c>
    </row>
    <row r="145">
      <c r="B145" s="2" t="n">
        <v>4296059</v>
      </c>
      <c r="C145" s="2" t="n">
        <v>55615</v>
      </c>
      <c r="D145" s="67">
        <f>COUNTIF($C$9:$C$223,C145)</f>
        <v/>
      </c>
    </row>
    <row r="146">
      <c r="B146" s="2" t="n">
        <v>4490127</v>
      </c>
      <c r="C146" s="2" t="n">
        <v>55982</v>
      </c>
      <c r="D146" s="67">
        <f>COUNTIF($C$9:$C$223,C146)</f>
        <v/>
      </c>
    </row>
    <row r="147">
      <c r="B147" s="2" t="n">
        <v>4297210</v>
      </c>
      <c r="C147" s="2" t="n">
        <v>56145</v>
      </c>
      <c r="D147" s="67">
        <f>COUNTIF($C$9:$C$223,C147)</f>
        <v/>
      </c>
    </row>
    <row r="148">
      <c r="B148" s="2" t="n">
        <v>4299389</v>
      </c>
      <c r="C148" s="2" t="n">
        <v>56145</v>
      </c>
      <c r="D148" s="67">
        <f>COUNTIF($C$9:$C$223,C148)</f>
        <v/>
      </c>
    </row>
    <row r="149">
      <c r="B149" s="2" t="n">
        <v>4634091</v>
      </c>
      <c r="C149" s="2" t="n">
        <v>56908</v>
      </c>
      <c r="D149" s="67">
        <f>COUNTIF($C$9:$C$223,C149)</f>
        <v/>
      </c>
    </row>
    <row r="150">
      <c r="B150" s="2" t="n">
        <v>4582792</v>
      </c>
      <c r="C150" s="2" t="n">
        <v>57519</v>
      </c>
      <c r="D150" s="67">
        <f>COUNTIF($C$9:$C$223,C150)</f>
        <v/>
      </c>
    </row>
    <row r="151">
      <c r="B151" s="2" t="n">
        <v>4615232</v>
      </c>
      <c r="C151" s="2" t="n">
        <v>57539</v>
      </c>
      <c r="D151" s="67">
        <f>COUNTIF($C$9:$C$223,C151)</f>
        <v/>
      </c>
    </row>
    <row r="152">
      <c r="B152" s="2" t="n">
        <v>4502595</v>
      </c>
      <c r="C152" s="2" t="n">
        <v>57585</v>
      </c>
      <c r="D152" s="67">
        <f>COUNTIF($C$9:$C$223,C152)</f>
        <v/>
      </c>
    </row>
    <row r="153">
      <c r="B153" s="2" t="n">
        <v>4508553</v>
      </c>
      <c r="C153" s="2" t="n">
        <v>59426</v>
      </c>
      <c r="D153" s="67">
        <f>COUNTIF($C$9:$C$223,C153)</f>
        <v/>
      </c>
    </row>
    <row r="154">
      <c r="B154" s="2" t="n">
        <v>4513174</v>
      </c>
      <c r="C154" s="2" t="n">
        <v>59443</v>
      </c>
      <c r="D154" s="67">
        <f>COUNTIF($C$9:$C$223,C154)</f>
        <v/>
      </c>
    </row>
    <row r="155">
      <c r="B155" s="2" t="n">
        <v>4552347</v>
      </c>
      <c r="C155" s="2" t="n">
        <v>60484</v>
      </c>
      <c r="D155" s="67">
        <f>COUNTIF($C$9:$C$223,C155)</f>
        <v/>
      </c>
    </row>
    <row r="156">
      <c r="B156" s="2" t="n">
        <v>4535768</v>
      </c>
      <c r="C156" s="2" t="n">
        <v>60485</v>
      </c>
      <c r="D156" s="67">
        <f>COUNTIF($C$9:$C$223,C156)</f>
        <v/>
      </c>
    </row>
    <row r="157">
      <c r="B157" s="2" t="n">
        <v>6015596</v>
      </c>
      <c r="C157" s="2" t="n">
        <v>61070</v>
      </c>
      <c r="D157" s="67">
        <f>COUNTIF($C$9:$C$223,C157)</f>
        <v/>
      </c>
    </row>
    <row r="158">
      <c r="B158" s="2" t="n">
        <v>6015597</v>
      </c>
      <c r="C158" s="2" t="n">
        <v>61071</v>
      </c>
      <c r="D158" s="67">
        <f>COUNTIF($C$9:$C$223,C158)</f>
        <v/>
      </c>
    </row>
    <row r="159">
      <c r="B159" s="2" t="n">
        <v>4525904</v>
      </c>
      <c r="C159" s="2" t="n">
        <v>61903</v>
      </c>
      <c r="D159" s="67">
        <f>COUNTIF($C$9:$C$223,C159)</f>
        <v/>
      </c>
    </row>
    <row r="160">
      <c r="B160" s="2" t="n">
        <v>4526985</v>
      </c>
      <c r="C160" s="2" t="n">
        <v>62462</v>
      </c>
      <c r="D160" s="67">
        <f>COUNTIF($C$9:$C$223,C160)</f>
        <v/>
      </c>
    </row>
    <row r="161">
      <c r="B161" s="2" t="n">
        <v>4525184</v>
      </c>
      <c r="C161" s="2" t="n">
        <v>62821</v>
      </c>
      <c r="D161" s="67">
        <f>COUNTIF($C$9:$C$223,C161)</f>
        <v/>
      </c>
    </row>
    <row r="162">
      <c r="B162" s="2" t="n">
        <v>4538007</v>
      </c>
      <c r="C162" s="2" t="n">
        <v>63869</v>
      </c>
      <c r="D162" s="67">
        <f>COUNTIF($C$9:$C$223,C162)</f>
        <v/>
      </c>
    </row>
    <row r="163">
      <c r="B163" s="2" t="n">
        <v>4540797</v>
      </c>
      <c r="C163" s="2" t="n">
        <v>64178</v>
      </c>
      <c r="D163" s="67">
        <f>COUNTIF($C$9:$C$223,C163)</f>
        <v/>
      </c>
    </row>
    <row r="164">
      <c r="B164" s="2" t="n">
        <v>4539880</v>
      </c>
      <c r="C164" s="2" t="n">
        <v>64179</v>
      </c>
      <c r="D164" s="67">
        <f>COUNTIF($C$9:$C$223,C164)</f>
        <v/>
      </c>
    </row>
    <row r="165">
      <c r="B165" s="2" t="n">
        <v>4544720</v>
      </c>
      <c r="C165" s="2" t="n">
        <v>64288</v>
      </c>
      <c r="D165" s="67">
        <f>COUNTIF($C$9:$C$223,C165)</f>
        <v/>
      </c>
    </row>
    <row r="166">
      <c r="B166" s="2" t="n">
        <v>4645732</v>
      </c>
      <c r="C166" s="2" t="n">
        <v>64289</v>
      </c>
      <c r="D166" s="67">
        <f>COUNTIF($C$9:$C$223,C166)</f>
        <v/>
      </c>
    </row>
    <row r="167">
      <c r="B167" s="2" t="n">
        <v>4562805</v>
      </c>
      <c r="C167" s="2" t="n">
        <v>64290</v>
      </c>
      <c r="D167" s="67">
        <f>COUNTIF($C$9:$C$223,C167)</f>
        <v/>
      </c>
    </row>
    <row r="168">
      <c r="B168" s="2" t="n">
        <v>4611705</v>
      </c>
      <c r="C168" s="2" t="n">
        <v>64290</v>
      </c>
      <c r="D168" s="67">
        <f>COUNTIF($C$9:$C$223,C168)</f>
        <v/>
      </c>
    </row>
    <row r="169">
      <c r="B169" s="2" t="n">
        <v>4541325</v>
      </c>
      <c r="C169" s="2" t="n">
        <v>64391</v>
      </c>
      <c r="D169" s="67">
        <f>COUNTIF($C$9:$C$223,C169)</f>
        <v/>
      </c>
    </row>
    <row r="170">
      <c r="B170" s="2" t="n">
        <v>4547582</v>
      </c>
      <c r="C170" s="2" t="n">
        <v>64391</v>
      </c>
      <c r="D170" s="67">
        <f>COUNTIF($C$9:$C$223,C170)</f>
        <v/>
      </c>
    </row>
    <row r="171">
      <c r="B171" s="2" t="n">
        <v>4541326</v>
      </c>
      <c r="C171" s="2" t="n">
        <v>64392</v>
      </c>
      <c r="D171" s="67">
        <f>COUNTIF($C$9:$C$223,C171)</f>
        <v/>
      </c>
    </row>
    <row r="172">
      <c r="B172" s="2" t="n">
        <v>4558731</v>
      </c>
      <c r="C172" s="2" t="n">
        <v>64393</v>
      </c>
      <c r="D172" s="67">
        <f>COUNTIF($C$9:$C$223,C172)</f>
        <v/>
      </c>
    </row>
    <row r="173">
      <c r="B173" s="2" t="n">
        <v>4558797</v>
      </c>
      <c r="C173" s="2" t="n">
        <v>64393</v>
      </c>
      <c r="D173" s="67">
        <f>COUNTIF($C$9:$C$223,C173)</f>
        <v/>
      </c>
    </row>
    <row r="174">
      <c r="B174" s="2" t="n">
        <v>4558775</v>
      </c>
      <c r="C174" s="2" t="n">
        <v>64394</v>
      </c>
      <c r="D174" s="67">
        <f>COUNTIF($C$9:$C$223,C174)</f>
        <v/>
      </c>
    </row>
    <row r="175">
      <c r="B175" s="2" t="n">
        <v>4558740</v>
      </c>
      <c r="C175" s="2" t="n">
        <v>64680</v>
      </c>
      <c r="D175" s="67">
        <f>COUNTIF($C$9:$C$223,C175)</f>
        <v/>
      </c>
    </row>
    <row r="176">
      <c r="B176" s="2" t="n">
        <v>4558774</v>
      </c>
      <c r="C176" s="2" t="n">
        <v>64681</v>
      </c>
      <c r="D176" s="67">
        <f>COUNTIF($C$9:$C$223,C176)</f>
        <v/>
      </c>
    </row>
    <row r="177">
      <c r="B177" s="2" t="n">
        <v>4558802</v>
      </c>
      <c r="C177" s="2" t="n">
        <v>64681</v>
      </c>
      <c r="D177" s="67">
        <f>COUNTIF($C$9:$C$223,C177)</f>
        <v/>
      </c>
    </row>
    <row r="178">
      <c r="B178" s="2" t="n">
        <v>4543490</v>
      </c>
      <c r="C178" s="2" t="n">
        <v>64682</v>
      </c>
      <c r="D178" s="67">
        <f>COUNTIF($C$9:$C$223,C178)</f>
        <v/>
      </c>
    </row>
    <row r="179">
      <c r="B179" s="2" t="n">
        <v>4541924</v>
      </c>
      <c r="C179" s="2" t="n">
        <v>64683</v>
      </c>
      <c r="D179" s="67">
        <f>COUNTIF($C$9:$C$223,C179)</f>
        <v/>
      </c>
    </row>
    <row r="180">
      <c r="B180" s="2" t="n">
        <v>4547581</v>
      </c>
      <c r="C180" s="2" t="n">
        <v>64683</v>
      </c>
      <c r="D180" s="67">
        <f>COUNTIF($C$9:$C$223,C180)</f>
        <v/>
      </c>
    </row>
    <row r="181">
      <c r="B181" s="2" t="n">
        <v>4540906</v>
      </c>
      <c r="C181" s="2" t="n">
        <v>64781</v>
      </c>
      <c r="D181" s="67">
        <f>COUNTIF($C$9:$C$223,C181)</f>
        <v/>
      </c>
    </row>
    <row r="182">
      <c r="B182" s="2" t="n">
        <v>4542573</v>
      </c>
      <c r="C182" s="2" t="n">
        <v>64871</v>
      </c>
      <c r="D182" s="67">
        <f>COUNTIF($C$9:$C$223,C182)</f>
        <v/>
      </c>
    </row>
    <row r="183">
      <c r="B183" s="2" t="n">
        <v>4542578</v>
      </c>
      <c r="C183" s="2" t="n">
        <v>64871</v>
      </c>
      <c r="D183" s="67">
        <f>COUNTIF($C$9:$C$223,C183)</f>
        <v/>
      </c>
    </row>
    <row r="184">
      <c r="B184" s="2" t="n">
        <v>6014051</v>
      </c>
      <c r="C184" s="2" t="n">
        <v>72156</v>
      </c>
      <c r="D184" s="67">
        <f>COUNTIF($C$9:$C$223,C184)</f>
        <v/>
      </c>
    </row>
    <row r="185">
      <c r="B185" s="2" t="n">
        <v>6006140</v>
      </c>
      <c r="C185" s="2" t="n">
        <v>74695</v>
      </c>
      <c r="D185" s="67">
        <f>COUNTIF($C$9:$C$223,C185)</f>
        <v/>
      </c>
    </row>
    <row r="186">
      <c r="B186" s="2" t="n">
        <v>4544140</v>
      </c>
      <c r="C186" s="2" t="n">
        <v>85543</v>
      </c>
      <c r="D186" s="67">
        <f>COUNTIF($C$9:$C$223,C186)</f>
        <v/>
      </c>
    </row>
    <row r="187">
      <c r="B187" s="2" t="n">
        <v>4544143</v>
      </c>
      <c r="C187" s="2" t="n">
        <v>85544</v>
      </c>
      <c r="D187" s="67">
        <f>COUNTIF($C$9:$C$223,C187)</f>
        <v/>
      </c>
    </row>
    <row r="188">
      <c r="B188" s="2" t="n">
        <v>4544147</v>
      </c>
      <c r="C188" s="2" t="n">
        <v>85545</v>
      </c>
      <c r="D188" s="67">
        <f>COUNTIF($C$9:$C$223,C188)</f>
        <v/>
      </c>
    </row>
    <row r="189">
      <c r="B189" s="2" t="n">
        <v>4544151</v>
      </c>
      <c r="C189" s="2" t="n">
        <v>85546</v>
      </c>
      <c r="D189" s="67">
        <f>COUNTIF($C$9:$C$223,C189)</f>
        <v/>
      </c>
    </row>
    <row r="190">
      <c r="B190" s="2" t="n">
        <v>4566251</v>
      </c>
      <c r="C190" s="2" t="n">
        <v>87080</v>
      </c>
      <c r="D190" s="67">
        <f>COUNTIF($C$9:$C$223,C190)</f>
        <v/>
      </c>
    </row>
    <row r="191">
      <c r="B191" s="2" t="n">
        <v>4560175</v>
      </c>
      <c r="C191" s="2" t="n">
        <v>87082</v>
      </c>
      <c r="D191" s="67">
        <f>COUNTIF($C$9:$C$223,C191)</f>
        <v/>
      </c>
    </row>
    <row r="192">
      <c r="B192" s="2" t="n">
        <v>4560177</v>
      </c>
      <c r="C192" s="2" t="n">
        <v>87083</v>
      </c>
      <c r="D192" s="67">
        <f>COUNTIF($C$9:$C$223,C192)</f>
        <v/>
      </c>
    </row>
    <row r="193">
      <c r="B193" s="2" t="n">
        <v>4566249</v>
      </c>
      <c r="C193" s="2" t="n">
        <v>87086</v>
      </c>
      <c r="D193" s="67">
        <f>COUNTIF($C$9:$C$223,C193)</f>
        <v/>
      </c>
    </row>
    <row r="194">
      <c r="B194" s="2" t="n">
        <v>4558690</v>
      </c>
      <c r="C194" s="2" t="n">
        <v>87407</v>
      </c>
      <c r="D194" s="67">
        <f>COUNTIF($C$9:$C$223,C194)</f>
        <v/>
      </c>
    </row>
    <row r="195">
      <c r="B195" s="2" t="n">
        <v>4558692</v>
      </c>
      <c r="C195" s="2" t="n">
        <v>87408</v>
      </c>
      <c r="D195" s="67">
        <f>COUNTIF($C$9:$C$223,C195)</f>
        <v/>
      </c>
    </row>
    <row r="196">
      <c r="B196" s="2" t="n">
        <v>6014648</v>
      </c>
      <c r="C196" s="2" t="n">
        <v>88323</v>
      </c>
      <c r="D196" s="67">
        <f>COUNTIF($C$9:$C$223,C196)</f>
        <v/>
      </c>
    </row>
    <row r="197">
      <c r="B197" s="2" t="n">
        <v>4639695</v>
      </c>
      <c r="C197" s="2" t="n">
        <v>89201</v>
      </c>
      <c r="D197" s="67">
        <f>COUNTIF($C$9:$C$223,C197)</f>
        <v/>
      </c>
    </row>
    <row r="198">
      <c r="B198" s="2" t="n">
        <v>4610374</v>
      </c>
      <c r="C198" s="2" t="n">
        <v>92906</v>
      </c>
      <c r="D198" s="67">
        <f>COUNTIF($C$9:$C$223,C198)</f>
        <v/>
      </c>
    </row>
    <row r="199">
      <c r="B199" s="2" t="n">
        <v>4630114</v>
      </c>
      <c r="C199" s="2" t="n">
        <v>92907</v>
      </c>
      <c r="D199" s="67">
        <f>COUNTIF($C$9:$C$223,C199)</f>
        <v/>
      </c>
    </row>
    <row r="200">
      <c r="B200" s="2" t="n">
        <v>4610377</v>
      </c>
      <c r="C200" s="2" t="n">
        <v>92908</v>
      </c>
      <c r="D200" s="67">
        <f>COUNTIF($C$9:$C$223,C200)</f>
        <v/>
      </c>
    </row>
    <row r="201">
      <c r="B201" s="2" t="n">
        <v>4610378</v>
      </c>
      <c r="C201" s="2" t="n">
        <v>92909</v>
      </c>
      <c r="D201" s="67">
        <f>COUNTIF($C$9:$C$223,C201)</f>
        <v/>
      </c>
    </row>
    <row r="202">
      <c r="B202" s="2" t="n">
        <v>4610379</v>
      </c>
      <c r="C202" s="2" t="n">
        <v>92910</v>
      </c>
      <c r="D202" s="67">
        <f>COUNTIF($C$9:$C$223,C202)</f>
        <v/>
      </c>
    </row>
    <row r="203">
      <c r="B203" s="2" t="n">
        <v>4610380</v>
      </c>
      <c r="C203" s="2" t="n">
        <v>92911</v>
      </c>
      <c r="D203" s="67">
        <f>COUNTIF($C$9:$C$223,C203)</f>
        <v/>
      </c>
    </row>
    <row r="204">
      <c r="B204" s="2" t="n">
        <v>4640536</v>
      </c>
      <c r="C204" s="2" t="n">
        <v>94925</v>
      </c>
      <c r="D204" s="67">
        <f>COUNTIF($C$9:$C$223,C204)</f>
        <v/>
      </c>
    </row>
    <row r="205">
      <c r="B205" s="2" t="n">
        <v>6009996</v>
      </c>
      <c r="C205" s="2" t="n">
        <v>95646</v>
      </c>
      <c r="D205" s="67">
        <f>COUNTIF($C$9:$C$223,C205)</f>
        <v/>
      </c>
    </row>
    <row r="206">
      <c r="B206" s="2" t="n">
        <v>6008472</v>
      </c>
      <c r="C206" s="2" t="n">
        <v>95648</v>
      </c>
      <c r="D206" s="67">
        <f>COUNTIF($C$9:$C$223,C206)</f>
        <v/>
      </c>
    </row>
    <row r="207">
      <c r="B207" s="2" t="n">
        <v>6008919</v>
      </c>
      <c r="C207" s="2" t="n">
        <v>95650</v>
      </c>
      <c r="D207" s="67">
        <f>COUNTIF($C$9:$C$223,C207)</f>
        <v/>
      </c>
    </row>
    <row r="208">
      <c r="B208" s="2" t="n">
        <v>6008924</v>
      </c>
      <c r="C208" s="2" t="n">
        <v>95652</v>
      </c>
      <c r="D208" s="67">
        <f>COUNTIF($C$9:$C$223,C208)</f>
        <v/>
      </c>
    </row>
    <row r="209">
      <c r="B209" s="2" t="n">
        <v>6009811</v>
      </c>
      <c r="C209" s="2" t="n">
        <v>95654</v>
      </c>
      <c r="D209" s="67">
        <f>COUNTIF($C$9:$C$223,C209)</f>
        <v/>
      </c>
    </row>
    <row r="210">
      <c r="B210" s="2" t="n">
        <v>6012820</v>
      </c>
      <c r="C210" s="2" t="n">
        <v>95656</v>
      </c>
      <c r="D210" s="67">
        <f>COUNTIF($C$9:$C$223,C210)</f>
        <v/>
      </c>
    </row>
    <row r="211">
      <c r="B211" s="2" t="n">
        <v>6009430</v>
      </c>
      <c r="C211" s="2" t="n">
        <v>95658</v>
      </c>
      <c r="D211" s="67">
        <f>COUNTIF($C$9:$C$223,C211)</f>
        <v/>
      </c>
    </row>
    <row r="212">
      <c r="B212" s="2" t="n">
        <v>4646864</v>
      </c>
      <c r="C212" s="2" t="n">
        <v>98138</v>
      </c>
      <c r="D212" s="67">
        <f>COUNTIF($C$9:$C$223,C212)</f>
        <v/>
      </c>
    </row>
    <row r="213">
      <c r="B213" s="2" t="n">
        <v>4656205</v>
      </c>
      <c r="C213" s="2" t="n">
        <v>98347</v>
      </c>
      <c r="D213" s="67">
        <f>COUNTIF($C$9:$C$223,C213)</f>
        <v/>
      </c>
    </row>
    <row r="214">
      <c r="B214" s="2" t="n">
        <v>4657296</v>
      </c>
      <c r="C214" s="2" t="n">
        <v>98568</v>
      </c>
      <c r="D214" s="67">
        <f>COUNTIF($C$9:$C$223,C214)</f>
        <v/>
      </c>
    </row>
    <row r="215">
      <c r="B215" s="2" t="n">
        <v>6027626</v>
      </c>
      <c r="C215" s="2" t="n">
        <v>98578</v>
      </c>
      <c r="D215" s="67">
        <f>COUNTIF($C$9:$C$223,C215)</f>
        <v/>
      </c>
    </row>
    <row r="216">
      <c r="B216" s="2" t="n">
        <v>4654432</v>
      </c>
      <c r="C216" s="2" t="n">
        <v>98585</v>
      </c>
      <c r="D216" s="67">
        <f>COUNTIF($C$9:$C$223,C216)</f>
        <v/>
      </c>
    </row>
    <row r="217">
      <c r="B217" s="2" t="n">
        <v>4652234</v>
      </c>
      <c r="C217" s="2" t="n">
        <v>98989</v>
      </c>
      <c r="D217" s="67">
        <f>COUNTIF($C$9:$C$223,C217)</f>
        <v/>
      </c>
    </row>
    <row r="218">
      <c r="B218" s="2" t="n">
        <v>4666999</v>
      </c>
      <c r="C218" s="2" t="n">
        <v>99008</v>
      </c>
      <c r="D218" s="67">
        <f>COUNTIF($C$9:$C$223,C218)</f>
        <v/>
      </c>
    </row>
    <row r="219">
      <c r="B219" s="2" t="n">
        <v>4652235</v>
      </c>
      <c r="C219" s="2" t="n">
        <v>99009</v>
      </c>
      <c r="D219" s="67">
        <f>COUNTIF($C$9:$C$223,C219)</f>
        <v/>
      </c>
    </row>
    <row r="220">
      <c r="B220" s="2" t="n">
        <v>4652236</v>
      </c>
      <c r="C220" s="2" t="n">
        <v>99010</v>
      </c>
      <c r="D220" s="67">
        <f>COUNTIF($C$9:$C$223,C220)</f>
        <v/>
      </c>
    </row>
    <row r="221">
      <c r="B221" s="2" t="n">
        <v>6008916</v>
      </c>
      <c r="C221" s="2" t="n">
        <v>99380</v>
      </c>
      <c r="D221" s="67">
        <f>COUNTIF($C$9:$C$223,C221)</f>
        <v/>
      </c>
    </row>
    <row r="222">
      <c r="B222" s="2" t="n">
        <v>6008577</v>
      </c>
      <c r="C222" s="2" t="n">
        <v>99455</v>
      </c>
      <c r="D222" s="67">
        <f>COUNTIF($C$9:$C$223,C222)</f>
        <v/>
      </c>
    </row>
    <row r="223">
      <c r="B223" s="2" t="n">
        <v>6009019</v>
      </c>
      <c r="C223" s="2" t="n">
        <v>99773</v>
      </c>
      <c r="D223" s="67">
        <f>COUNTIF($C$9:$C$223,C223)</f>
        <v/>
      </c>
    </row>
  </sheetData>
  <mergeCells count="5">
    <mergeCell ref="B3:D3"/>
    <mergeCell ref="B5:D5"/>
    <mergeCell ref="F5:H5"/>
    <mergeCell ref="B1:D1"/>
    <mergeCell ref="B2:D2"/>
  </mergeCells>
  <conditionalFormatting sqref="C9:C223">
    <cfRule type="expression" priority="1" dxfId="3">
      <formula>COUNTIF($C$9:$C$223,C9)&gt;1</formula>
    </cfRule>
  </conditionalFormatting>
  <pageMargins left="0.7" right="0.7" top="0.75" bottom="0.75" header="0.3" footer="0.3"/>
</worksheet>
</file>

<file path=xl/worksheets/sheet8.xml><?xml version="1.0" encoding="utf-8"?>
<worksheet xmlns="http://schemas.openxmlformats.org/spreadsheetml/2006/main">
  <sheetPr>
    <tabColor theme="7"/>
    <outlinePr summaryBelow="1" summaryRight="1"/>
    <pageSetUpPr/>
  </sheetPr>
  <dimension ref="A1:J20"/>
  <sheetViews>
    <sheetView zoomScale="156" zoomScaleNormal="218" workbookViewId="0">
      <selection activeCell="H2" sqref="H2"/>
    </sheetView>
  </sheetViews>
  <sheetFormatPr baseColWidth="10" defaultColWidth="8.83203125" defaultRowHeight="14"/>
  <cols>
    <col width="19.83203125" bestFit="1" customWidth="1" style="1" min="1" max="1"/>
    <col width="7.5" bestFit="1" customWidth="1" style="1" min="2" max="2"/>
    <col width="12.1640625" bestFit="1" customWidth="1" style="1" min="3" max="3"/>
    <col width="11.1640625" bestFit="1" customWidth="1" style="1" min="4" max="4"/>
    <col width="9.33203125" bestFit="1" customWidth="1" style="1" min="5" max="5"/>
    <col width="23" bestFit="1" customWidth="1" style="1" min="6" max="6"/>
    <col width="22.1640625" customWidth="1" style="1" min="7" max="7"/>
    <col width="18.5" customWidth="1" style="1" min="8" max="8"/>
    <col width="8.83203125" customWidth="1" style="1" min="9" max="9"/>
    <col width="17.6640625" bestFit="1" customWidth="1" style="1" min="10" max="10"/>
    <col width="17.83203125" customWidth="1" style="1" min="11" max="11"/>
    <col width="12.1640625" customWidth="1" style="1" min="12" max="12"/>
    <col width="16.5" customWidth="1" style="1" min="13" max="13"/>
    <col width="8.83203125" customWidth="1" style="1" min="14" max="16384"/>
  </cols>
  <sheetData>
    <row r="1" ht="18" customHeight="1">
      <c r="G1" s="205" t="inlineStr">
        <is>
          <t>Hint: for G and H use IF(COUNTIF(…</t>
        </is>
      </c>
    </row>
    <row r="2">
      <c r="A2" s="2" t="n"/>
      <c r="B2" s="2" t="n"/>
      <c r="C2" s="2" t="n"/>
      <c r="D2" s="2" t="n"/>
      <c r="E2" s="2" t="n"/>
      <c r="F2" s="2" t="n"/>
      <c r="G2" s="2" t="n"/>
      <c r="H2" s="3" t="inlineStr">
        <is>
          <t>bo</t>
        </is>
      </c>
    </row>
    <row r="3">
      <c r="A3" s="2" t="n"/>
      <c r="B3" s="2" t="n"/>
      <c r="C3" s="2" t="n"/>
      <c r="D3" s="2" t="n"/>
      <c r="E3" s="2" t="n"/>
      <c r="F3" s="4" t="inlineStr">
        <is>
          <t>List Check</t>
        </is>
      </c>
      <c r="G3" s="4" t="inlineStr">
        <is>
          <t>List Check</t>
        </is>
      </c>
      <c r="H3" s="4" t="inlineStr">
        <is>
          <t>Wildcards</t>
        </is>
      </c>
    </row>
    <row r="4" ht="85" customHeight="1">
      <c r="A4" s="5" t="inlineStr">
        <is>
          <t>Name</t>
        </is>
      </c>
      <c r="B4" s="5" t="inlineStr">
        <is>
          <t>Gender</t>
        </is>
      </c>
      <c r="C4" s="5" t="inlineStr">
        <is>
          <t>Department</t>
        </is>
      </c>
      <c r="D4" s="6" t="inlineStr">
        <is>
          <t>Date Joined</t>
        </is>
      </c>
      <c r="E4" s="6" t="inlineStr">
        <is>
          <t>Salary</t>
        </is>
      </c>
      <c r="F4" s="224" t="inlineStr">
        <is>
          <t>Check if an employee is part of on call support team (see table on the right) 
Option 1</t>
        </is>
      </c>
      <c r="G4" s="224" t="inlineStr">
        <is>
          <t>Check if an employee is part of on call support team (see table on the right) Option 2</t>
        </is>
      </c>
      <c r="H4" s="224" t="inlineStr">
        <is>
          <t>Name contains bo</t>
        </is>
      </c>
      <c r="J4" s="5" t="inlineStr">
        <is>
          <t>On call team</t>
        </is>
      </c>
    </row>
    <row r="5">
      <c r="A5" s="2" t="inlineStr">
        <is>
          <t>Barr Faughny</t>
        </is>
      </c>
      <c r="B5" s="2" t="inlineStr">
        <is>
          <t>Female</t>
        </is>
      </c>
      <c r="C5" s="2" t="inlineStr">
        <is>
          <t>Procurement</t>
        </is>
      </c>
      <c r="D5" s="323" t="n">
        <v>43744</v>
      </c>
      <c r="E5" s="8" t="n">
        <v>75000</v>
      </c>
      <c r="F5" s="243">
        <f>IF(OR(A5=$J$5,A5=$J$6,A5=$J$7,A5=$J$8,A5=$J$9),"Yes","No")</f>
        <v/>
      </c>
      <c r="G5" s="243">
        <f>IF(COUNTIF($J$5:$J$9,A5)&gt;0,"Yes","No")</f>
        <v/>
      </c>
      <c r="H5" s="243">
        <f>IF(COUNTIF(A5,"*"&amp;$H$2&amp;"*")&gt;0,"Yes","No")</f>
        <v/>
      </c>
      <c r="J5" s="2" t="inlineStr">
        <is>
          <t>Curtice Advani</t>
        </is>
      </c>
    </row>
    <row r="6">
      <c r="A6" s="2" t="inlineStr">
        <is>
          <t>Dennison Crosswaite</t>
        </is>
      </c>
      <c r="B6" s="2" t="inlineStr">
        <is>
          <t>Male</t>
        </is>
      </c>
      <c r="C6" s="2" t="inlineStr">
        <is>
          <t>Website</t>
        </is>
      </c>
      <c r="D6" s="323" t="n">
        <v>43601</v>
      </c>
      <c r="E6" s="8" t="n">
        <v>90700</v>
      </c>
      <c r="F6" s="243">
        <f>IF(OR(A6=$J$5,A6=$J$6,A6=$J$7,A6=$J$8,A6=$J$9),"Yes","No")</f>
        <v/>
      </c>
      <c r="G6" s="243">
        <f>IF(COUNTIF($J$5:$J$9,A6)&gt;0,"Yes","No")</f>
        <v/>
      </c>
      <c r="H6" s="243">
        <f>IF(COUNTIF(A6,"*"&amp;$H$2&amp;"*")&gt;0,"Yes","No")</f>
        <v/>
      </c>
      <c r="J6" s="2" t="inlineStr">
        <is>
          <t>Husein Augar</t>
        </is>
      </c>
    </row>
    <row r="7">
      <c r="A7" s="2" t="inlineStr">
        <is>
          <t>Gunar Cockshoot</t>
        </is>
      </c>
      <c r="B7" s="2" t="inlineStr">
        <is>
          <t>Male</t>
        </is>
      </c>
      <c r="C7" s="2" t="inlineStr">
        <is>
          <t>Website</t>
        </is>
      </c>
      <c r="D7" s="323" t="n">
        <v>43476</v>
      </c>
      <c r="E7" s="8" t="n">
        <v>48950</v>
      </c>
      <c r="F7" s="243">
        <f>IF(OR(A7=$J$5,A7=$J$6,A7=$J$7,A7=$J$8,A7=$J$9),"Yes","No")</f>
        <v/>
      </c>
      <c r="G7" s="243">
        <f>IF(COUNTIF($J$5:$J$9,A7)&gt;0,"Yes","No")</f>
        <v/>
      </c>
      <c r="H7" s="243">
        <f>IF(COUNTIF(A7,"*"&amp;$H$2&amp;"*")&gt;0,"Yes","No")</f>
        <v/>
      </c>
      <c r="J7" s="2" t="inlineStr">
        <is>
          <t>Jan Morforth</t>
        </is>
      </c>
    </row>
    <row r="8">
      <c r="A8" s="2" t="inlineStr">
        <is>
          <t>Gigi Bohling</t>
        </is>
      </c>
      <c r="B8" s="2" t="inlineStr">
        <is>
          <t>Male</t>
        </is>
      </c>
      <c r="C8" s="2" t="inlineStr">
        <is>
          <t>Sales</t>
        </is>
      </c>
      <c r="D8" s="323" t="n">
        <v>43351</v>
      </c>
      <c r="E8" s="8" t="n">
        <v>74550</v>
      </c>
      <c r="F8" s="243">
        <f>IF(OR(A8=$J$5,A8=$J$6,A8=$J$7,A8=$J$8,A8=$J$9),"Yes","No")</f>
        <v/>
      </c>
      <c r="G8" s="243">
        <f>IF(COUNTIF($J$5:$J$9,A8)&gt;0,"Yes","No")</f>
        <v/>
      </c>
      <c r="H8" s="243">
        <f>IF(COUNTIF(A8,"*"&amp;$H$2&amp;"*")&gt;0,"Yes","No")</f>
        <v/>
      </c>
      <c r="J8" s="2" t="inlineStr">
        <is>
          <t>Ches Bonnell</t>
        </is>
      </c>
    </row>
    <row r="9">
      <c r="A9" s="2" t="inlineStr">
        <is>
          <t>Curtice Advani</t>
        </is>
      </c>
      <c r="B9" s="2" t="inlineStr">
        <is>
          <t>Male</t>
        </is>
      </c>
      <c r="C9" s="2" t="inlineStr">
        <is>
          <t>Finance</t>
        </is>
      </c>
      <c r="D9" s="323" t="n">
        <v>43560</v>
      </c>
      <c r="E9" s="8" t="n">
        <v>59810</v>
      </c>
      <c r="F9" s="243">
        <f>IF(OR(A9=$J$5,A9=$J$6,A9=$J$7,A9=$J$8,A9=$J$9),"Yes","No")</f>
        <v/>
      </c>
      <c r="G9" s="243">
        <f>IF(COUNTIF($J$5:$J$9,A9)&gt;0,"Yes","No")</f>
        <v/>
      </c>
      <c r="H9" s="243">
        <f>IF(COUNTIF(A9,"*"&amp;$H$2&amp;"*")&gt;0,"Yes","No")</f>
        <v/>
      </c>
      <c r="J9" s="2" t="inlineStr">
        <is>
          <t>Rafaelita Blaksland</t>
        </is>
      </c>
    </row>
    <row r="10">
      <c r="A10" s="2" t="inlineStr">
        <is>
          <t>Kaine Padly</t>
        </is>
      </c>
      <c r="B10" s="2" t="inlineStr">
        <is>
          <t>Male</t>
        </is>
      </c>
      <c r="C10" s="2" t="inlineStr">
        <is>
          <t>Website</t>
        </is>
      </c>
      <c r="D10" s="323" t="n">
        <v>43424</v>
      </c>
      <c r="E10" s="8" t="n">
        <v>107700</v>
      </c>
      <c r="F10" s="243">
        <f>IF(OR(A10=$J$5,A10=$J$6,A10=$J$7,A10=$J$8,A10=$J$9),"Yes","No")</f>
        <v/>
      </c>
      <c r="G10" s="243">
        <f>IF(COUNTIF($J$5:$J$9,A10)&gt;0,"Yes","No")</f>
        <v/>
      </c>
      <c r="H10" s="243">
        <f>IF(COUNTIF(A10,"*"&amp;$H$2&amp;"*")&gt;0,"Yes","No")</f>
        <v/>
      </c>
    </row>
    <row r="11">
      <c r="A11" s="2" t="inlineStr">
        <is>
          <t>Ches Bonnell</t>
        </is>
      </c>
      <c r="B11" s="2" t="inlineStr">
        <is>
          <t>Male</t>
        </is>
      </c>
      <c r="C11" s="2" t="inlineStr">
        <is>
          <t>Website</t>
        </is>
      </c>
      <c r="D11" s="323" t="n">
        <v>43303</v>
      </c>
      <c r="E11" s="8" t="n">
        <v>88050</v>
      </c>
      <c r="F11" s="243">
        <f>IF(OR(A11=$J$5,A11=$J$6,A11=$J$7,A11=$J$8,A11=$J$9),"Yes","No")</f>
        <v/>
      </c>
      <c r="G11" s="243">
        <f>IF(COUNTIF($J$5:$J$9,A11)&gt;0,"Yes","No")</f>
        <v/>
      </c>
      <c r="H11" s="243">
        <f>IF(COUNTIF(A11,"*"&amp;$H$2&amp;"*")&gt;0,"Yes","No")</f>
        <v/>
      </c>
    </row>
    <row r="12">
      <c r="A12" s="2" t="inlineStr">
        <is>
          <t>Andria Kimpton</t>
        </is>
      </c>
      <c r="B12" s="2" t="inlineStr">
        <is>
          <t>Male</t>
        </is>
      </c>
      <c r="C12" s="2" t="inlineStr">
        <is>
          <t>Website</t>
        </is>
      </c>
      <c r="D12" s="323" t="n">
        <v>43238</v>
      </c>
      <c r="E12" s="8" t="n">
        <v>69120</v>
      </c>
      <c r="F12" s="243">
        <f>IF(OR(A12=$J$5,A12=$J$6,A12=$J$7,A12=$J$8,A12=$J$9),"Yes","No")</f>
        <v/>
      </c>
      <c r="G12" s="243">
        <f>IF(COUNTIF($J$5:$J$9,A12)&gt;0,"Yes","No")</f>
        <v/>
      </c>
      <c r="H12" s="243">
        <f>IF(COUNTIF(A12,"*"&amp;$H$2&amp;"*")&gt;0,"Yes","No")</f>
        <v/>
      </c>
    </row>
    <row r="13">
      <c r="A13" s="2" t="inlineStr">
        <is>
          <t>Brien Boise</t>
        </is>
      </c>
      <c r="B13" s="2" t="inlineStr">
        <is>
          <t>Female</t>
        </is>
      </c>
      <c r="C13" s="2" t="inlineStr">
        <is>
          <t>Website</t>
        </is>
      </c>
      <c r="D13" s="323" t="n">
        <v>43628</v>
      </c>
      <c r="E13" s="8" t="n">
        <v>58100</v>
      </c>
      <c r="F13" s="243">
        <f>IF(OR(A13=$J$5,A13=$J$6,A13=$J$7,A13=$J$8,A13=$J$9),"Yes","No")</f>
        <v/>
      </c>
      <c r="G13" s="243">
        <f>IF(COUNTIF($J$5:$J$9,A13)&gt;0,"Yes","No")</f>
        <v/>
      </c>
      <c r="H13" s="243">
        <f>IF(COUNTIF(A13,"*"&amp;$H$2&amp;"*")&gt;0,"Yes","No")</f>
        <v/>
      </c>
    </row>
    <row r="14">
      <c r="A14" s="2" t="inlineStr">
        <is>
          <t>Husein Augar</t>
        </is>
      </c>
      <c r="B14" s="2" t="inlineStr">
        <is>
          <t>Female</t>
        </is>
      </c>
      <c r="C14" s="2" t="inlineStr">
        <is>
          <t>Finance</t>
        </is>
      </c>
      <c r="D14" s="323" t="n">
        <v>43355</v>
      </c>
      <c r="E14" s="8" t="n">
        <v>67910</v>
      </c>
      <c r="F14" s="243">
        <f>IF(OR(A14=$J$5,A14=$J$6,A14=$J$7,A14=$J$8,A14=$J$9),"Yes","No")</f>
        <v/>
      </c>
      <c r="G14" s="243">
        <f>IF(COUNTIF($J$5:$J$9,A14)&gt;0,"Yes","No")</f>
        <v/>
      </c>
      <c r="H14" s="243">
        <f>IF(COUNTIF(A14,"*"&amp;$H$2&amp;"*")&gt;0,"Yes","No")</f>
        <v/>
      </c>
    </row>
    <row r="15">
      <c r="A15" s="2" t="inlineStr">
        <is>
          <t>Jan Morforth</t>
        </is>
      </c>
      <c r="B15" s="2" t="inlineStr">
        <is>
          <t>Male</t>
        </is>
      </c>
      <c r="C15" s="2" t="inlineStr">
        <is>
          <t>Finance</t>
        </is>
      </c>
      <c r="D15" s="323" t="n">
        <v>43007</v>
      </c>
      <c r="E15" s="8" t="n">
        <v>48170</v>
      </c>
      <c r="F15" s="243">
        <f>IF(OR(A15=$J$5,A15=$J$6,A15=$J$7,A15=$J$8,A15=$J$9),"Yes","No")</f>
        <v/>
      </c>
      <c r="G15" s="243">
        <f>IF(COUNTIF($J$5:$J$9,A15)&gt;0,"Yes","No")</f>
        <v/>
      </c>
      <c r="H15" s="243">
        <f>IF(COUNTIF(A15,"*"&amp;$H$2&amp;"*")&gt;0,"Yes","No")</f>
        <v/>
      </c>
    </row>
    <row r="16">
      <c r="A16" s="2" t="inlineStr">
        <is>
          <t>Dotty Strutley</t>
        </is>
      </c>
      <c r="B16" s="2" t="inlineStr">
        <is>
          <t>Female</t>
        </is>
      </c>
      <c r="C16" s="2" t="inlineStr">
        <is>
          <t>Website</t>
        </is>
      </c>
      <c r="D16" s="323" t="n">
        <v>43110</v>
      </c>
      <c r="E16" s="8" t="n">
        <v>41980</v>
      </c>
      <c r="F16" s="243">
        <f>IF(OR(A16=$J$5,A16=$J$6,A16=$J$7,A16=$J$8,A16=$J$9),"Yes","No")</f>
        <v/>
      </c>
      <c r="G16" s="243">
        <f>IF(COUNTIF($J$5:$J$9,A16)&gt;0,"Yes","No")</f>
        <v/>
      </c>
      <c r="H16" s="243">
        <f>IF(COUNTIF(A16,"*"&amp;$H$2&amp;"*")&gt;0,"Yes","No")</f>
        <v/>
      </c>
    </row>
    <row r="17">
      <c r="A17" s="2" t="inlineStr">
        <is>
          <t>Marney O'Breen</t>
        </is>
      </c>
      <c r="B17" s="2" t="inlineStr">
        <is>
          <t>Female</t>
        </is>
      </c>
      <c r="C17" s="2" t="inlineStr">
        <is>
          <t>Finance</t>
        </is>
      </c>
      <c r="D17" s="323" t="n">
        <v>43282</v>
      </c>
      <c r="E17" s="8" t="n">
        <v>65920</v>
      </c>
      <c r="F17" s="243">
        <f>IF(OR(A17=$J$5,A17=$J$6,A17=$J$7,A17=$J$8,A17=$J$9),"Yes","No")</f>
        <v/>
      </c>
      <c r="G17" s="243">
        <f>IF(COUNTIF($J$5:$J$9,A17)&gt;0,"Yes","No")</f>
        <v/>
      </c>
      <c r="H17" s="243">
        <f>IF(COUNTIF(A17,"*"&amp;$H$2&amp;"*")&gt;0,"Yes","No")</f>
        <v/>
      </c>
    </row>
    <row r="18">
      <c r="A18" s="2" t="inlineStr">
        <is>
          <t>Rafaelita Blaksland</t>
        </is>
      </c>
      <c r="B18" s="2" t="inlineStr">
        <is>
          <t>Female</t>
        </is>
      </c>
      <c r="C18" s="2" t="inlineStr">
        <is>
          <t>Sales</t>
        </is>
      </c>
      <c r="D18" s="323" t="n">
        <v>43342</v>
      </c>
      <c r="E18" s="8" t="n">
        <v>109160</v>
      </c>
      <c r="F18" s="243">
        <f>IF(OR(A18=$J$5,A18=$J$6,A18=$J$7,A18=$J$8,A18=$J$9),"Yes","No")</f>
        <v/>
      </c>
      <c r="G18" s="243">
        <f>IF(COUNTIF($J$5:$J$9,A18)&gt;0,"Yes","No")</f>
        <v/>
      </c>
      <c r="H18" s="243">
        <f>IF(COUNTIF(A18,"*"&amp;$H$2&amp;"*")&gt;0,"Yes","No")</f>
        <v/>
      </c>
    </row>
    <row r="19">
      <c r="A19" s="2" t="inlineStr">
        <is>
          <t>Beverie Moffet</t>
        </is>
      </c>
      <c r="B19" s="2" t="inlineStr">
        <is>
          <t>Female</t>
        </is>
      </c>
      <c r="C19" s="2" t="inlineStr">
        <is>
          <t>Finance</t>
        </is>
      </c>
      <c r="D19" s="323" t="n">
        <v>43151</v>
      </c>
      <c r="E19" s="8" t="n">
        <v>75970</v>
      </c>
      <c r="F19" s="243">
        <f>IF(OR(A19=$J$5,A19=$J$6,A19=$J$7,A19=$J$8,A19=$J$9),"Yes","No")</f>
        <v/>
      </c>
      <c r="G19" s="243">
        <f>IF(COUNTIF($J$5:$J$9,A19)&gt;0,"Yes","No")</f>
        <v/>
      </c>
      <c r="H19" s="243">
        <f>IF(COUNTIF(A19,"*"&amp;$H$2&amp;"*")&gt;0,"Yes","No")</f>
        <v/>
      </c>
    </row>
    <row r="20">
      <c r="A20" s="2" t="inlineStr">
        <is>
          <t>Oby Sorrel</t>
        </is>
      </c>
      <c r="B20" s="2" t="inlineStr">
        <is>
          <t>Female</t>
        </is>
      </c>
      <c r="C20" s="2" t="inlineStr">
        <is>
          <t>Finance</t>
        </is>
      </c>
      <c r="D20" s="323" t="n">
        <v>43618</v>
      </c>
      <c r="E20" s="8" t="n">
        <v>58940</v>
      </c>
      <c r="F20" s="243">
        <f>IF(OR(A20=$J$5,A20=$J$6,A20=$J$7,A20=$J$8,A20=$J$9),"Yes","No")</f>
        <v/>
      </c>
      <c r="G20" s="243">
        <f>IF(COUNTIF($J$5:$J$9,A20)&gt;0,"Yes","No")</f>
        <v/>
      </c>
      <c r="H20" s="243">
        <f>IF(COUNTIF(A20,"*"&amp;$H$2&amp;"*")&gt;0,"Yes","No")</f>
        <v/>
      </c>
    </row>
  </sheetData>
  <pageMargins left="0.7" right="0.7" top="0.75" bottom="0.75" header="0.3" footer="0.3"/>
  <pageSetup orientation="portrait" paperSize="9"/>
</worksheet>
</file>

<file path=xl/worksheets/sheet9.xml><?xml version="1.0" encoding="utf-8"?>
<worksheet xmlns="http://schemas.openxmlformats.org/spreadsheetml/2006/main">
  <sheetPr>
    <tabColor rgb="FF7030A0"/>
    <outlinePr summaryBelow="1" summaryRight="1"/>
    <pageSetUpPr/>
  </sheetPr>
  <dimension ref="A1:H78"/>
  <sheetViews>
    <sheetView zoomScale="170" zoomScaleNormal="85" workbookViewId="0">
      <selection activeCell="C2" sqref="C2"/>
    </sheetView>
  </sheetViews>
  <sheetFormatPr baseColWidth="10" defaultColWidth="14" defaultRowHeight="15" customHeight="1"/>
  <cols>
    <col width="16.6640625" customWidth="1" style="263" min="1" max="1"/>
    <col width="20.1640625" customWidth="1" style="263" min="2" max="2"/>
    <col width="19.33203125" customWidth="1" style="263" min="3" max="3"/>
    <col width="25.33203125" customWidth="1" style="263" min="4" max="4"/>
    <col width="19.33203125" customWidth="1" style="263" min="5" max="5"/>
    <col width="17.83203125" customWidth="1" style="263" min="6" max="6"/>
    <col width="15" customWidth="1" style="263" min="7" max="7"/>
    <col width="13.33203125" customWidth="1" style="263" min="8" max="8"/>
    <col width="8.5" customWidth="1" style="263" min="9" max="26"/>
    <col width="14" customWidth="1" style="263" min="27" max="16384"/>
  </cols>
  <sheetData>
    <row r="1" ht="30" customHeight="1" thickBot="1">
      <c r="A1" s="324" t="inlineStr">
        <is>
          <t>Date &amp; Time Functions</t>
        </is>
      </c>
      <c r="B1" s="325" t="n"/>
      <c r="C1" s="325" t="n"/>
      <c r="D1" s="325" t="n"/>
      <c r="E1" s="325" t="n"/>
      <c r="F1" s="325" t="n"/>
      <c r="G1" s="326" t="n"/>
    </row>
    <row r="2" ht="14.25" customHeight="1">
      <c r="A2" s="69" t="inlineStr">
        <is>
          <t>Note: Date and times that are too big or negative are shown as #####</t>
        </is>
      </c>
      <c r="B2" s="69" t="n"/>
      <c r="C2" s="69" t="n"/>
      <c r="D2" s="69" t="n"/>
      <c r="E2" s="70" t="n">
        <v>-1</v>
      </c>
      <c r="F2" s="71" t="inlineStr">
        <is>
          <t>12/29/1899</t>
        </is>
      </c>
    </row>
    <row r="3" ht="14.25" customHeight="1">
      <c r="A3" s="267" t="inlineStr">
        <is>
          <t>0. Numerical representation of a date: Cell Format, VALUE, NUMBERVALUE, TEXT</t>
        </is>
      </c>
    </row>
    <row r="4" ht="14.25" customHeight="1">
      <c r="A4" s="72" t="inlineStr">
        <is>
          <t>Date</t>
        </is>
      </c>
      <c r="B4" s="73" t="inlineStr">
        <is>
          <t>Numerical</t>
        </is>
      </c>
      <c r="D4" s="74" t="inlineStr">
        <is>
          <t>Task</t>
        </is>
      </c>
      <c r="E4" s="75" t="inlineStr">
        <is>
          <t>Value</t>
        </is>
      </c>
      <c r="F4" s="76" t="inlineStr">
        <is>
          <t>Your Formula</t>
        </is>
      </c>
      <c r="G4" s="77" t="inlineStr">
        <is>
          <t>Result</t>
        </is>
      </c>
    </row>
    <row r="5" ht="14.25" customHeight="1">
      <c r="A5" s="78" t="n">
        <v>45230</v>
      </c>
      <c r="B5" s="79" t="n">
        <v>44865</v>
      </c>
      <c r="D5" s="80" t="inlineStr">
        <is>
          <t>Convert with VALUE</t>
        </is>
      </c>
      <c r="E5" s="78" t="n">
        <v>44926</v>
      </c>
      <c r="F5" s="81" t="n"/>
      <c r="G5" s="80" t="n">
        <v>44926</v>
      </c>
    </row>
    <row r="6" ht="14.25" customHeight="1">
      <c r="A6" s="78" t="n">
        <v>1</v>
      </c>
      <c r="B6" s="80" t="inlineStr">
        <is>
          <t xml:space="preserve">equal to 1 </t>
        </is>
      </c>
      <c r="D6" s="80" t="inlineStr">
        <is>
          <t>Convert with Cell Format</t>
        </is>
      </c>
      <c r="E6" s="78" t="n">
        <v>35660</v>
      </c>
      <c r="F6" s="81" t="n"/>
      <c r="G6" s="82" t="n">
        <v>35660</v>
      </c>
    </row>
    <row r="7" ht="14.25" customHeight="1">
      <c r="A7" s="78" t="n">
        <v>0</v>
      </c>
      <c r="B7" s="80" t="n">
        <v>0</v>
      </c>
      <c r="D7" s="78" t="inlineStr">
        <is>
          <t>Convert with Cell Format</t>
        </is>
      </c>
      <c r="E7" s="80" t="n">
        <v>43782</v>
      </c>
      <c r="F7" s="81" t="n"/>
      <c r="G7" s="78" t="n">
        <v>43782</v>
      </c>
    </row>
    <row r="8" ht="14.25" customHeight="1">
      <c r="A8" s="78" t="n">
        <v>1</v>
      </c>
      <c r="B8" s="80" t="n">
        <v>1</v>
      </c>
      <c r="C8" s="71" t="n"/>
      <c r="D8" s="78" t="inlineStr">
        <is>
          <t>Convert with NUMBERVALUE</t>
        </is>
      </c>
      <c r="E8" s="78" t="n">
        <v>26630</v>
      </c>
      <c r="F8" s="81" t="n"/>
      <c r="G8" s="80" t="n">
        <v>26630</v>
      </c>
    </row>
    <row r="9" ht="14.25" customHeight="1">
      <c r="A9" s="78" t="n">
        <v>2</v>
      </c>
      <c r="B9" s="80" t="n">
        <v>2</v>
      </c>
      <c r="C9" s="71" t="n"/>
      <c r="D9" s="78" t="inlineStr">
        <is>
          <t>Convert with Text</t>
        </is>
      </c>
      <c r="E9" s="79" t="n">
        <v>44444</v>
      </c>
      <c r="F9" s="81" t="n"/>
      <c r="G9" s="83" t="inlineStr">
        <is>
          <t>05/09/2021</t>
        </is>
      </c>
    </row>
    <row r="10" ht="14.25" customHeight="1">
      <c r="A10" s="84" t="inlineStr">
        <is>
          <t>EPOCH time format</t>
        </is>
      </c>
      <c r="C10" s="71" t="n"/>
    </row>
    <row r="11" ht="14.25" customHeight="1">
      <c r="A11" s="85" t="inlineStr">
        <is>
          <t>1. YEAR, MONTH, DAY functions</t>
        </is>
      </c>
      <c r="B11" s="86" t="n"/>
      <c r="C11" s="86" t="n"/>
      <c r="D11" s="86" t="n"/>
      <c r="E11" s="86" t="n"/>
      <c r="F11" s="86" t="n"/>
    </row>
    <row r="12" ht="14.25" customHeight="1">
      <c r="A12" s="87" t="inlineStr">
        <is>
          <t>Current Date</t>
        </is>
      </c>
      <c r="B12" s="88" t="inlineStr">
        <is>
          <t xml:space="preserve"> =YEAR</t>
        </is>
      </c>
      <c r="C12" s="89" t="inlineStr">
        <is>
          <t xml:space="preserve"> =MONTH</t>
        </is>
      </c>
      <c r="D12" s="90" t="inlineStr">
        <is>
          <t xml:space="preserve"> =DAY</t>
        </is>
      </c>
    </row>
    <row r="13" ht="14.25" customHeight="1">
      <c r="A13" s="91">
        <f>TODAY()</f>
        <v/>
      </c>
      <c r="B13" s="92" t="n"/>
      <c r="C13" s="92" t="n"/>
      <c r="D13" s="92" t="n"/>
    </row>
    <row r="14" ht="14.25" customHeight="1"/>
    <row r="15" ht="14.25" customHeight="1">
      <c r="A15" s="85" t="inlineStr">
        <is>
          <t>2. DATE function</t>
        </is>
      </c>
      <c r="B15" s="93" t="n"/>
      <c r="C15" s="93" t="n"/>
      <c r="D15" s="93" t="n"/>
      <c r="E15" s="93" t="n"/>
      <c r="F15" s="93" t="n"/>
    </row>
    <row r="16" ht="14.25" customHeight="1">
      <c r="A16" s="94" t="inlineStr">
        <is>
          <t>DATE</t>
        </is>
      </c>
      <c r="B16" s="91">
        <f>DATE(2023,11,13)</f>
        <v/>
      </c>
    </row>
    <row r="17" ht="14.25" customHeight="1">
      <c r="A17" s="263" t="inlineStr">
        <is>
          <t>What do we know already?</t>
        </is>
      </c>
    </row>
    <row r="18" ht="14.25" customHeight="1">
      <c r="A18" s="95" t="inlineStr">
        <is>
          <t>Date</t>
        </is>
      </c>
      <c r="B18" s="96" t="inlineStr">
        <is>
          <t>Date + 10 days</t>
        </is>
      </c>
      <c r="C18" s="88" t="inlineStr">
        <is>
          <t xml:space="preserve"> Date + 1 days and 2 month and 3 years -&gt; Date function!</t>
        </is>
      </c>
      <c r="D18" s="97" t="n"/>
      <c r="E18" s="97" t="n"/>
      <c r="F18" s="98" t="n"/>
    </row>
    <row r="19" ht="13.75" customHeight="1">
      <c r="A19" s="91">
        <f>TODAY()</f>
        <v/>
      </c>
      <c r="B19" s="99" t="n"/>
      <c r="C19" s="100" t="n"/>
      <c r="D19" s="70" t="n"/>
    </row>
    <row r="20" ht="14.25" customHeight="1"/>
    <row r="21" ht="14.25" customHeight="1">
      <c r="A21" s="85" t="inlineStr">
        <is>
          <t>3. Current date and time: NOW, TODAY functions</t>
        </is>
      </c>
      <c r="B21" s="85" t="n"/>
      <c r="C21" s="85" t="n"/>
      <c r="D21" s="85" t="n"/>
      <c r="E21" s="85" t="n"/>
      <c r="F21" s="85" t="n"/>
    </row>
    <row r="22" ht="14.25" customHeight="1">
      <c r="A22" s="88" t="inlineStr">
        <is>
          <t xml:space="preserve"> =NOW()</t>
        </is>
      </c>
      <c r="B22" s="90" t="inlineStr">
        <is>
          <t xml:space="preserve"> =TODAY()</t>
        </is>
      </c>
      <c r="C22" s="101" t="inlineStr">
        <is>
          <t xml:space="preserve"> =Yesterday</t>
        </is>
      </c>
      <c r="D22" s="71" t="n"/>
    </row>
    <row r="23" ht="14.25" customHeight="1">
      <c r="A23" s="102" t="n"/>
      <c r="B23" s="99" t="n"/>
      <c r="C23" s="102" t="n"/>
      <c r="D23" s="71" t="n"/>
    </row>
    <row r="24" ht="14.25" customHeight="1"/>
    <row r="25" ht="14.25" customHeight="1">
      <c r="A25" s="85" t="inlineStr">
        <is>
          <t>4. HOUR, MINUTE, SECOND</t>
        </is>
      </c>
      <c r="B25" s="103" t="n"/>
      <c r="C25" s="103" t="n"/>
      <c r="D25" s="103" t="n"/>
      <c r="E25" s="103" t="n"/>
      <c r="F25" s="103" t="n"/>
    </row>
    <row r="26" ht="14.25" customHeight="1">
      <c r="A26" s="87" t="inlineStr">
        <is>
          <t>Current Time</t>
        </is>
      </c>
      <c r="B26" s="88" t="inlineStr">
        <is>
          <t xml:space="preserve"> =HOUR</t>
        </is>
      </c>
      <c r="C26" s="89" t="inlineStr">
        <is>
          <t xml:space="preserve"> =MINUTE</t>
        </is>
      </c>
      <c r="D26" s="90" t="inlineStr">
        <is>
          <t xml:space="preserve"> =SECOND</t>
        </is>
      </c>
    </row>
    <row r="27" ht="14.25" customHeight="1">
      <c r="A27" s="104" t="n">
        <v>0.5314467592592592</v>
      </c>
      <c r="B27" s="92" t="n"/>
      <c r="C27" s="92" t="n"/>
      <c r="D27" s="92" t="n"/>
      <c r="F27" s="105" t="n"/>
    </row>
    <row r="28" ht="14.25" customHeight="1">
      <c r="A28" s="106">
        <f>NOW()</f>
        <v/>
      </c>
      <c r="B28" s="107" t="n"/>
      <c r="C28" s="92" t="n"/>
      <c r="D28" s="92" t="n"/>
    </row>
    <row r="29" ht="14.25" customHeight="1">
      <c r="A29" s="108" t="n"/>
    </row>
    <row r="30" ht="14.25" customHeight="1">
      <c r="A30" s="85" t="inlineStr">
        <is>
          <t>5. TIME Function</t>
        </is>
      </c>
      <c r="B30" s="86" t="n"/>
      <c r="C30" s="86" t="n"/>
      <c r="D30" s="86" t="n"/>
      <c r="E30" s="86" t="n"/>
      <c r="F30" s="86" t="n"/>
    </row>
    <row r="31" ht="14.25" customHeight="1">
      <c r="A31" s="90" t="inlineStr">
        <is>
          <t xml:space="preserve"> =Time</t>
        </is>
      </c>
      <c r="B31" s="109">
        <f>TIME(8,13,21)</f>
        <v/>
      </c>
    </row>
    <row r="32" ht="14.25" customHeight="1">
      <c r="A32" s="110" t="n"/>
      <c r="B32" s="111" t="inlineStr">
        <is>
          <t xml:space="preserve"> +1 hours and 2 minutes and 3 seconds -&gt; Time function!</t>
        </is>
      </c>
      <c r="C32" s="112" t="n"/>
      <c r="D32" s="112" t="n"/>
      <c r="E32" s="112" t="n"/>
      <c r="F32" s="112" t="n"/>
      <c r="G32" s="113" t="n"/>
    </row>
    <row r="33" ht="14.25" customHeight="1">
      <c r="A33" s="104" t="n">
        <v>0.2814467592592593</v>
      </c>
      <c r="B33" s="114" t="n"/>
    </row>
    <row r="34" ht="14.25" customHeight="1">
      <c r="A34" s="106">
        <f>NOW()</f>
        <v/>
      </c>
      <c r="B34" s="115" t="n"/>
    </row>
    <row r="35" ht="14.25" customHeight="1"/>
    <row r="36" ht="14.25" customHeight="1">
      <c r="A36" s="85" t="inlineStr">
        <is>
          <t>6. DATEDIF</t>
        </is>
      </c>
      <c r="B36" s="103" t="n"/>
      <c r="C36" s="103" t="n"/>
      <c r="D36" s="103" t="n"/>
      <c r="E36" s="103" t="n"/>
      <c r="F36" s="103" t="n"/>
      <c r="G36" s="116" t="inlineStr">
        <is>
          <t>https://support.office.com/en-us/article/DATEDIF-function-25dba1a4-2812-480b-84dd-8b32a451b35c</t>
        </is>
      </c>
    </row>
    <row r="37" ht="14.25" customHeight="1">
      <c r="A37" s="84" t="inlineStr">
        <is>
          <t>Date</t>
        </is>
      </c>
      <c r="B37" s="117" t="inlineStr">
        <is>
          <t>Days</t>
        </is>
      </c>
      <c r="C37" s="117" t="inlineStr">
        <is>
          <t>Months</t>
        </is>
      </c>
      <c r="D37" s="117" t="inlineStr">
        <is>
          <t>Years</t>
        </is>
      </c>
      <c r="E37" s="117" t="inlineStr">
        <is>
          <t>Days ignore years</t>
        </is>
      </c>
      <c r="F37" s="117" t="inlineStr">
        <is>
          <t>Days ignore months</t>
        </is>
      </c>
      <c r="G37" s="117" t="inlineStr">
        <is>
          <t>Month ignore years</t>
        </is>
      </c>
    </row>
    <row r="38" ht="14.25" customHeight="1">
      <c r="A38" s="118" t="n">
        <v>43782</v>
      </c>
      <c r="B38" s="73" t="inlineStr">
        <is>
          <t xml:space="preserve"> =DATEDIF</t>
        </is>
      </c>
      <c r="C38" s="119" t="inlineStr">
        <is>
          <t xml:space="preserve"> =DATEDIF</t>
        </is>
      </c>
      <c r="D38" s="76" t="inlineStr">
        <is>
          <t xml:space="preserve"> =DATEDIF</t>
        </is>
      </c>
      <c r="E38" s="76" t="inlineStr">
        <is>
          <t xml:space="preserve"> =DATEDIF</t>
        </is>
      </c>
      <c r="F38" s="76" t="inlineStr">
        <is>
          <t xml:space="preserve"> =DATEDIF</t>
        </is>
      </c>
      <c r="G38" s="76" t="inlineStr">
        <is>
          <t xml:space="preserve"> =DATEDIF</t>
        </is>
      </c>
    </row>
    <row r="39" ht="14.25" customHeight="1">
      <c r="A39" s="120" t="n">
        <v>44922</v>
      </c>
      <c r="B39" s="121">
        <f>DATEDIF(A38,A39,"d")</f>
        <v/>
      </c>
      <c r="C39" s="92" t="n"/>
      <c r="D39" s="92" t="n"/>
      <c r="E39" s="92">
        <f>DATEDIF(A38,A39,"yd")</f>
        <v/>
      </c>
      <c r="F39" s="92" t="n"/>
      <c r="G39" s="92" t="n"/>
    </row>
    <row r="40" ht="14.25" customHeight="1">
      <c r="A40" s="120" t="n">
        <v>44923</v>
      </c>
      <c r="B40" s="121">
        <f>DATEDIF(A39,A40,"d")</f>
        <v/>
      </c>
      <c r="C40" s="92" t="n"/>
      <c r="D40" s="92" t="n"/>
      <c r="E40" s="92">
        <f>DATEDIF(A39,A40,"yd")</f>
        <v/>
      </c>
      <c r="F40" s="92" t="n"/>
      <c r="G40" s="92" t="n"/>
    </row>
    <row r="41" ht="14.25" customHeight="1"/>
    <row r="42" ht="14.25" customHeight="1">
      <c r="A42" s="269" t="inlineStr">
        <is>
          <t>Important note!</t>
        </is>
      </c>
    </row>
    <row r="43" ht="29.25" customHeight="1">
      <c r="A43" s="270" t="inlineStr">
        <is>
          <t>the DATEDIF function returns the number of complete days, months or years. This may give unexpected results when the day/month number of the second date is lower than the day/month number of the first date.</t>
        </is>
      </c>
    </row>
    <row r="44" ht="14.25" customHeight="1">
      <c r="A44" s="122" t="n">
        <v>40142</v>
      </c>
      <c r="B44" s="123">
        <f>A44+37</f>
        <v/>
      </c>
    </row>
    <row r="45" ht="14.25" customHeight="1">
      <c r="A45" s="124" t="n">
        <v>43063</v>
      </c>
      <c r="B45" s="125">
        <f>A45+37</f>
        <v/>
      </c>
    </row>
    <row r="46" ht="14.25" customHeight="1">
      <c r="A46" s="81">
        <f>DATEDIF(A44,A45,"y")</f>
        <v/>
      </c>
      <c r="B46" s="81">
        <f>YEAR(A45)-YEAR(A44)</f>
        <v/>
      </c>
    </row>
    <row r="47" ht="14.25" customHeight="1"/>
    <row r="48" ht="14.25" customHeight="1">
      <c r="A48" s="85" t="inlineStr">
        <is>
          <t>7. Weekday Function</t>
        </is>
      </c>
      <c r="B48" s="103" t="n"/>
      <c r="C48" s="103" t="n"/>
      <c r="D48" s="103" t="n"/>
      <c r="E48" s="103" t="n"/>
      <c r="F48" s="103" t="n"/>
    </row>
    <row r="49" ht="14.25" customHeight="1">
      <c r="B49" s="126" t="inlineStr">
        <is>
          <t xml:space="preserve"> = WEEKDAY (AX)</t>
        </is>
      </c>
      <c r="C49" s="127" t="inlineStr">
        <is>
          <t xml:space="preserve"> = WEEKDAY (AX;2)</t>
        </is>
      </c>
      <c r="D49" s="128" t="inlineStr">
        <is>
          <t>WEEKDAY NAME</t>
        </is>
      </c>
    </row>
    <row r="50" ht="14.25" customHeight="1">
      <c r="A50" s="118">
        <f>TODAY()</f>
        <v/>
      </c>
      <c r="B50" s="81" t="n"/>
      <c r="C50" s="81" t="n"/>
      <c r="D50" s="81" t="n"/>
    </row>
    <row r="51" ht="14.25" customHeight="1">
      <c r="A51" s="84" t="inlineStr">
        <is>
          <t>Note:  basic is  a number from 1 (Sunday) to 7 (Saturday). Select type 2 for commonly used order</t>
        </is>
      </c>
    </row>
    <row r="52" ht="14.25" customHeight="1"/>
    <row r="53" ht="14.25" customHeight="1">
      <c r="A53" s="85" t="inlineStr">
        <is>
          <t>8.Networkdays Function</t>
        </is>
      </c>
      <c r="B53" s="103" t="n"/>
      <c r="C53" s="103" t="n"/>
      <c r="D53" s="103" t="n"/>
      <c r="E53" s="103" t="n"/>
      <c r="F53" s="103" t="n"/>
    </row>
    <row r="54" ht="43.75" customHeight="1">
      <c r="A54" s="262" t="inlineStr">
        <is>
          <t>Returns the number of whole working days between start_date and end_date. Working days exclude weekends and any dates identified in holidays. Use NETWORKDAYS to calculate employee benefits that accrue based on the number of days worked during a specific term.</t>
        </is>
      </c>
    </row>
    <row r="55" ht="14.25" customHeight="1">
      <c r="B55" s="73" t="inlineStr">
        <is>
          <t xml:space="preserve"> = NETWORKDAYS</t>
        </is>
      </c>
      <c r="C55" s="129" t="inlineStr">
        <is>
          <t>ADDING HOLIDAYS</t>
        </is>
      </c>
      <c r="D55" s="130" t="n"/>
      <c r="E55" s="131" t="inlineStr">
        <is>
          <t>List of Holidays</t>
        </is>
      </c>
    </row>
    <row r="56" ht="14.25" customHeight="1">
      <c r="A56" s="132" t="n">
        <v>45047</v>
      </c>
      <c r="B56" s="81" t="n"/>
      <c r="C56" s="132" t="n">
        <v>45047</v>
      </c>
      <c r="D56" s="133" t="n"/>
      <c r="E56" s="134" t="n">
        <v>45049</v>
      </c>
    </row>
    <row r="57" ht="14.25" customHeight="1">
      <c r="A57" s="132" t="n">
        <v>45077</v>
      </c>
      <c r="C57" s="132" t="n">
        <v>45077</v>
      </c>
      <c r="E57" s="134" t="n">
        <v>45056</v>
      </c>
    </row>
    <row r="58" ht="14.25" customHeight="1"/>
    <row r="59" ht="14.25" customHeight="1"/>
    <row r="60" ht="14.25" customHeight="1">
      <c r="A60" s="85" t="inlineStr">
        <is>
          <t>9. Workday Function</t>
        </is>
      </c>
      <c r="B60" s="103" t="n"/>
      <c r="C60" s="103" t="n"/>
      <c r="D60" s="103" t="n"/>
      <c r="E60" s="103" t="n"/>
      <c r="F60" s="103" t="n"/>
      <c r="G60" s="135" t="inlineStr">
        <is>
          <t>https://support.office.com/en-us/article/WORKDAY-function-F764A5B7-05FC-4494-9486-60D494EFBF33</t>
        </is>
      </c>
    </row>
    <row r="61" ht="45" customHeight="1">
      <c r="A61" s="262" t="inlineStr">
        <is>
          <t>Returns a number that represents a date that is the indicated number of working days before or after a date (the starting date). Working days exclude weekends and any dates identified as holidays. Use WORKDAY to exclude weekends or holidays when you calculate invoice due dates, expected delivery times, or the number of days of work performed.</t>
        </is>
      </c>
    </row>
    <row r="62" ht="14.25" customHeight="1">
      <c r="B62" s="73" t="inlineStr">
        <is>
          <t xml:space="preserve"> = WORKDAY</t>
        </is>
      </c>
      <c r="C62" s="129" t="inlineStr">
        <is>
          <t>ADDING HOLIDAYS</t>
        </is>
      </c>
      <c r="D62" s="136" t="n"/>
      <c r="E62" s="131" t="inlineStr">
        <is>
          <t>List of Holidays</t>
        </is>
      </c>
      <c r="H62" s="137" t="n"/>
    </row>
    <row r="63" ht="14.25" customHeight="1">
      <c r="A63" s="138" t="n">
        <v>44996</v>
      </c>
      <c r="B63" s="139" t="n"/>
      <c r="C63" s="138" t="n">
        <v>44990</v>
      </c>
      <c r="D63" s="139" t="n"/>
      <c r="E63" s="134" t="n">
        <v>44993</v>
      </c>
    </row>
    <row r="64" ht="14.25" customHeight="1">
      <c r="A64" s="140" t="n">
        <v>10</v>
      </c>
      <c r="C64" s="80" t="n">
        <v>14</v>
      </c>
    </row>
    <row r="65" ht="14.25" customHeight="1"/>
    <row r="66" ht="14.25" customHeight="1"/>
    <row r="67" ht="14.25" customHeight="1">
      <c r="A67" s="85" t="inlineStr">
        <is>
          <t>10. Last day of the month</t>
        </is>
      </c>
      <c r="B67" s="85" t="n"/>
      <c r="C67" s="85" t="n"/>
      <c r="D67" s="85" t="n"/>
      <c r="E67" s="85" t="n"/>
      <c r="F67" s="85" t="n"/>
    </row>
    <row r="68" ht="14.25" customHeight="1">
      <c r="B68" s="73" t="inlineStr">
        <is>
          <t xml:space="preserve"> =EOMONTH</t>
        </is>
      </c>
      <c r="C68" s="80" t="inlineStr">
        <is>
          <t xml:space="preserve"> =EOMONTH + 1 month</t>
        </is>
      </c>
      <c r="E68" s="80" t="inlineStr">
        <is>
          <t xml:space="preserve"> =EOMONTH - 8 month</t>
        </is>
      </c>
    </row>
    <row r="69" ht="14.25" customHeight="1">
      <c r="A69" s="122">
        <f>TODAY()</f>
        <v/>
      </c>
      <c r="B69" s="139" t="n"/>
      <c r="C69" s="139" t="n"/>
      <c r="D69" s="71" t="n"/>
      <c r="E69" s="139" t="n"/>
    </row>
    <row r="70" ht="14.25" customHeight="1"/>
    <row r="71" ht="14.25" customHeight="1"/>
    <row r="72" ht="14.25" customHeight="1">
      <c r="A72" s="85" t="inlineStr">
        <is>
          <t>11. EDATE function - extract or add certain number of months to the date</t>
        </is>
      </c>
      <c r="B72" s="85" t="n"/>
      <c r="C72" s="85" t="n"/>
      <c r="D72" s="85" t="n"/>
      <c r="E72" s="85" t="n"/>
      <c r="F72" s="85" t="n"/>
    </row>
    <row r="73" ht="14.25" customHeight="1">
      <c r="B73" s="141" t="inlineStr">
        <is>
          <t>=EDATE(date;10)</t>
        </is>
      </c>
      <c r="C73" s="141" t="inlineStr">
        <is>
          <t>=EDATE(date;-10)</t>
        </is>
      </c>
    </row>
    <row r="74" ht="14.25" customHeight="1">
      <c r="A74" s="122">
        <f>TODAY()</f>
        <v/>
      </c>
      <c r="B74" s="139" t="n"/>
      <c r="C74" s="139" t="n"/>
    </row>
    <row r="75" ht="14.25" customHeight="1"/>
    <row r="76" ht="14.25" customHeight="1">
      <c r="A76" s="263" t="inlineStr">
        <is>
          <t>Also we can extract years N yrs*12 months</t>
        </is>
      </c>
    </row>
    <row r="77" ht="27.75" customHeight="1">
      <c r="B77" s="142" t="inlineStr">
        <is>
          <t>=EDATE(date;5*12) = add 5 yrs</t>
        </is>
      </c>
      <c r="C77" s="142" t="inlineStr">
        <is>
          <t>=EDATE(date;-7*12) = extract 7 yrs</t>
        </is>
      </c>
    </row>
    <row r="78" ht="14.25" customHeight="1">
      <c r="A78" s="122">
        <f>TODAY()</f>
        <v/>
      </c>
      <c r="B78" s="139" t="n"/>
      <c r="C78" s="139" t="n"/>
    </row>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Format="1" customHeight="1" s="263"/>
    <row r="98" ht="14.25" customFormat="1" customHeight="1" s="263"/>
    <row r="99" ht="14.25" customFormat="1" customHeight="1" s="263"/>
    <row r="100" ht="14.25" customFormat="1" customHeight="1" s="263"/>
    <row r="101" ht="14.25" customFormat="1" customHeight="1" s="263"/>
    <row r="102" ht="14.25" customFormat="1" customHeight="1" s="263"/>
    <row r="103" ht="14.25" customFormat="1" customHeight="1" s="263"/>
    <row r="104" ht="14.25" customFormat="1" customHeight="1" s="263"/>
    <row r="105" ht="14.25" customFormat="1" customHeight="1" s="263"/>
    <row r="106" ht="14.25" customFormat="1" customHeight="1" s="263"/>
    <row r="107" ht="14.25" customFormat="1" customHeight="1" s="263"/>
    <row r="108" ht="14.25" customFormat="1" customHeight="1" s="263"/>
    <row r="109" ht="14.25" customFormat="1" customHeight="1" s="263"/>
    <row r="110" ht="14.25" customFormat="1" customHeight="1" s="263"/>
    <row r="111" ht="14.25" customFormat="1" customHeight="1" s="263"/>
    <row r="112" ht="14.25" customFormat="1" customHeight="1" s="263"/>
    <row r="113" ht="14.25" customFormat="1" customHeight="1" s="263"/>
    <row r="114" ht="14.25" customFormat="1" customHeight="1" s="263"/>
    <row r="115" ht="14.25" customFormat="1" customHeight="1" s="263"/>
    <row r="116" ht="14.25" customFormat="1" customHeight="1" s="263"/>
    <row r="117" ht="14.25" customFormat="1" customHeight="1" s="263"/>
    <row r="118" ht="14.25" customFormat="1" customHeight="1" s="263"/>
    <row r="119" ht="14.25" customFormat="1" customHeight="1" s="263"/>
    <row r="120" ht="14.25" customFormat="1" customHeight="1" s="263"/>
    <row r="121" ht="14.25" customFormat="1" customHeight="1" s="263"/>
    <row r="122" ht="14.25" customFormat="1" customHeight="1" s="263"/>
    <row r="123" ht="14.25" customFormat="1" customHeight="1" s="263"/>
    <row r="124" ht="14.25" customFormat="1" customHeight="1" s="263"/>
    <row r="125" ht="14.25" customFormat="1" customHeight="1" s="263"/>
    <row r="126" ht="14.25" customFormat="1" customHeight="1" s="263"/>
    <row r="127" ht="14.25" customFormat="1" customHeight="1" s="263"/>
    <row r="128" ht="14.25" customFormat="1" customHeight="1" s="263"/>
    <row r="129" ht="14.25" customFormat="1" customHeight="1" s="263"/>
    <row r="130" ht="14.25" customFormat="1" customHeight="1" s="263"/>
    <row r="131" ht="14.25" customFormat="1" customHeight="1" s="263"/>
    <row r="132" ht="14.25" customFormat="1" customHeight="1" s="263"/>
    <row r="133" ht="14.25" customFormat="1" customHeight="1" s="263"/>
    <row r="134" ht="14.25" customFormat="1" customHeight="1" s="263"/>
    <row r="135" ht="14.25" customFormat="1" customHeight="1" s="263"/>
    <row r="136" ht="14.25" customFormat="1" customHeight="1" s="263"/>
    <row r="137" ht="14.25" customFormat="1" customHeight="1" s="263"/>
    <row r="138" ht="14.25" customFormat="1" customHeight="1" s="263"/>
    <row r="139" ht="14.25" customFormat="1" customHeight="1" s="263"/>
    <row r="140" ht="14.25" customFormat="1" customHeight="1" s="263"/>
    <row r="141" ht="14.25" customFormat="1" customHeight="1" s="263"/>
    <row r="142" ht="14.25" customFormat="1" customHeight="1" s="263"/>
    <row r="143" ht="14.25" customFormat="1" customHeight="1" s="263"/>
    <row r="144" ht="14.25" customFormat="1" customHeight="1" s="263"/>
    <row r="145" ht="14.25" customFormat="1" customHeight="1" s="263"/>
    <row r="146" ht="14.25" customFormat="1" customHeight="1" s="263"/>
    <row r="147" ht="14.25" customFormat="1" customHeight="1" s="263"/>
    <row r="148" ht="14.25" customFormat="1" customHeight="1" s="263"/>
    <row r="149" ht="14.25" customFormat="1" customHeight="1" s="263"/>
    <row r="150" ht="14.25" customFormat="1" customHeight="1" s="263"/>
    <row r="151" ht="14.25" customFormat="1" customHeight="1" s="263"/>
    <row r="152" ht="14.25" customFormat="1" customHeight="1" s="263"/>
    <row r="153" ht="14.25" customFormat="1" customHeight="1" s="263"/>
    <row r="154" ht="14.25" customFormat="1" customHeight="1" s="263"/>
    <row r="155" ht="14.25" customFormat="1" customHeight="1" s="263"/>
    <row r="156" ht="14.25" customFormat="1" customHeight="1" s="263"/>
    <row r="157" ht="14.25" customFormat="1" customHeight="1" s="263"/>
    <row r="158" ht="14.25" customFormat="1" customHeight="1" s="263"/>
    <row r="159" ht="14.25" customFormat="1" customHeight="1" s="263"/>
    <row r="160" ht="14.25" customFormat="1" customHeight="1" s="263"/>
    <row r="161" ht="14.25" customFormat="1" customHeight="1" s="263"/>
    <row r="162" ht="14.25" customFormat="1" customHeight="1" s="263"/>
    <row r="163" ht="14.25" customFormat="1" customHeight="1" s="263"/>
    <row r="164" ht="14.25" customFormat="1" customHeight="1" s="263"/>
    <row r="165" ht="14.25" customFormat="1" customHeight="1" s="263"/>
    <row r="166" ht="14.25" customFormat="1" customHeight="1" s="263"/>
    <row r="167" ht="14.25" customFormat="1" customHeight="1" s="263"/>
    <row r="168" ht="14.25" customFormat="1" customHeight="1" s="263"/>
    <row r="169" ht="14.25" customFormat="1" customHeight="1" s="263"/>
    <row r="170" ht="14.25" customFormat="1" customHeight="1" s="263"/>
    <row r="171" ht="14.25" customFormat="1" customHeight="1" s="263"/>
    <row r="172" ht="14.25" customFormat="1" customHeight="1" s="263"/>
    <row r="173" ht="14.25" customFormat="1" customHeight="1" s="263"/>
    <row r="174" ht="14.25" customFormat="1" customHeight="1" s="263"/>
    <row r="175" ht="14.25" customFormat="1" customHeight="1" s="263"/>
    <row r="176" ht="14.25" customFormat="1" customHeight="1" s="263"/>
    <row r="177" ht="14.25" customFormat="1" customHeight="1" s="263"/>
    <row r="178" ht="14.25" customFormat="1" customHeight="1" s="263"/>
    <row r="179" ht="14.25" customFormat="1" customHeight="1" s="263"/>
    <row r="180" ht="14.25" customFormat="1" customHeight="1" s="263"/>
    <row r="181" ht="14.25" customFormat="1" customHeight="1" s="263"/>
    <row r="182" ht="14.25" customFormat="1" customHeight="1" s="263"/>
    <row r="183" ht="14.25" customFormat="1" customHeight="1" s="263"/>
    <row r="184" ht="14.25" customFormat="1" customHeight="1" s="263"/>
    <row r="185" ht="14.25" customFormat="1" customHeight="1" s="263"/>
    <row r="186" ht="14.25" customFormat="1" customHeight="1" s="263"/>
    <row r="187" ht="14.25" customFormat="1" customHeight="1" s="263"/>
    <row r="188" ht="14.25" customFormat="1" customHeight="1" s="263"/>
    <row r="189" ht="14.25" customFormat="1" customHeight="1" s="263"/>
    <row r="190" ht="14.25" customFormat="1" customHeight="1" s="263"/>
    <row r="191" ht="14.25" customFormat="1" customHeight="1" s="263"/>
    <row r="192" ht="14.25" customFormat="1" customHeight="1" s="263"/>
    <row r="193" ht="14.25" customFormat="1" customHeight="1" s="263"/>
    <row r="194" ht="14.25" customFormat="1" customHeight="1" s="263"/>
    <row r="195" ht="14.25" customFormat="1" customHeight="1" s="263"/>
    <row r="196" ht="14.25" customFormat="1" customHeight="1" s="263"/>
    <row r="197" ht="14.25" customFormat="1" customHeight="1" s="263"/>
    <row r="198" ht="14.25" customFormat="1" customHeight="1" s="263"/>
    <row r="199" ht="14.25" customFormat="1" customHeight="1" s="263"/>
    <row r="200" ht="14.25" customFormat="1" customHeight="1" s="263"/>
    <row r="201" ht="14.25" customFormat="1" customHeight="1" s="263"/>
    <row r="202" ht="14.25" customFormat="1" customHeight="1" s="263"/>
    <row r="203" ht="14.25" customFormat="1" customHeight="1" s="263"/>
    <row r="204" ht="14.25" customFormat="1" customHeight="1" s="263"/>
    <row r="205" ht="14.25" customFormat="1" customHeight="1" s="263"/>
    <row r="206" ht="14.25" customFormat="1" customHeight="1" s="263"/>
    <row r="207" ht="14.25" customFormat="1" customHeight="1" s="263"/>
    <row r="208" ht="14.25" customFormat="1" customHeight="1" s="263"/>
    <row r="209" ht="14.25" customFormat="1" customHeight="1" s="263"/>
    <row r="210" ht="14.25" customFormat="1" customHeight="1" s="263"/>
    <row r="211" ht="14.25" customFormat="1" customHeight="1" s="263"/>
    <row r="212" ht="14.25" customFormat="1" customHeight="1" s="263"/>
    <row r="213" ht="14.25" customFormat="1" customHeight="1" s="263"/>
    <row r="214" ht="14.25" customFormat="1" customHeight="1" s="263"/>
    <row r="215" ht="14.25" customFormat="1" customHeight="1" s="263"/>
    <row r="216" ht="14.25" customFormat="1" customHeight="1" s="263"/>
    <row r="217" ht="14.25" customFormat="1" customHeight="1" s="263"/>
    <row r="218" ht="14.25" customFormat="1" customHeight="1" s="263"/>
    <row r="219" ht="14.25" customFormat="1" customHeight="1" s="263"/>
    <row r="220" ht="14.25" customFormat="1" customHeight="1" s="263"/>
    <row r="221" ht="14.25" customFormat="1" customHeight="1" s="263"/>
    <row r="222" ht="14.25" customFormat="1" customHeight="1" s="263"/>
    <row r="223" ht="14.25" customFormat="1" customHeight="1" s="263"/>
    <row r="224" ht="14.25" customFormat="1" customHeight="1" s="263"/>
    <row r="225" ht="14.25" customFormat="1" customHeight="1" s="263"/>
    <row r="226" ht="14.25" customFormat="1" customHeight="1" s="263"/>
    <row r="227" ht="14.25" customFormat="1" customHeight="1" s="263"/>
    <row r="228" ht="14.25" customFormat="1" customHeight="1" s="263"/>
    <row r="229" ht="14.25" customFormat="1" customHeight="1" s="263"/>
    <row r="230" ht="14.25" customFormat="1" customHeight="1" s="263"/>
    <row r="231" ht="14.25" customFormat="1" customHeight="1" s="263"/>
    <row r="232" ht="14.25" customFormat="1" customHeight="1" s="263"/>
    <row r="233" ht="14.25" customFormat="1" customHeight="1" s="263"/>
    <row r="234" ht="14.25" customFormat="1" customHeight="1" s="263"/>
    <row r="235" ht="14.25" customFormat="1" customHeight="1" s="263"/>
    <row r="236" ht="14.25" customFormat="1" customHeight="1" s="263"/>
    <row r="237" ht="14.25" customFormat="1" customHeight="1" s="263"/>
    <row r="238" ht="14.25" customFormat="1" customHeight="1" s="263"/>
    <row r="239" ht="14.25" customFormat="1" customHeight="1" s="263"/>
    <row r="240" ht="14.25" customFormat="1" customHeight="1" s="263"/>
    <row r="241" ht="14.25" customFormat="1" customHeight="1" s="263"/>
    <row r="242" ht="14.25" customFormat="1" customHeight="1" s="263"/>
    <row r="243" ht="14.25" customFormat="1" customHeight="1" s="263"/>
    <row r="244" ht="14.25" customFormat="1" customHeight="1" s="263"/>
    <row r="245" ht="14.25" customFormat="1" customHeight="1" s="263"/>
    <row r="246" ht="14.25" customFormat="1" customHeight="1" s="263"/>
    <row r="247" ht="14.25" customFormat="1" customHeight="1" s="263"/>
    <row r="248" ht="14.25" customFormat="1" customHeight="1" s="263"/>
    <row r="249" ht="14.25" customFormat="1" customHeight="1" s="263"/>
    <row r="250" ht="14.25" customFormat="1" customHeight="1" s="263"/>
    <row r="251" ht="14.25" customFormat="1" customHeight="1" s="263"/>
    <row r="252" ht="14.25" customFormat="1" customHeight="1" s="263"/>
    <row r="253" ht="14.25" customFormat="1" customHeight="1" s="263"/>
    <row r="254" ht="14.25" customFormat="1" customHeight="1" s="263"/>
    <row r="255" ht="14.25" customFormat="1" customHeight="1" s="263"/>
    <row r="256" ht="14.25" customFormat="1" customHeight="1" s="263"/>
    <row r="257" ht="14.25" customFormat="1" customHeight="1" s="263"/>
    <row r="258" ht="14.25" customFormat="1" customHeight="1" s="263"/>
    <row r="259" ht="14.25" customFormat="1" customHeight="1" s="263"/>
    <row r="260" ht="14.25" customFormat="1" customHeight="1" s="263"/>
    <row r="261" ht="14.25" customFormat="1" customHeight="1" s="263"/>
    <row r="262" ht="14.25" customFormat="1" customHeight="1" s="263"/>
    <row r="263" ht="14.25" customFormat="1" customHeight="1" s="263"/>
    <row r="264" ht="14.25" customFormat="1" customHeight="1" s="263"/>
    <row r="265" ht="14.25" customFormat="1" customHeight="1" s="263"/>
    <row r="266" ht="14.25" customFormat="1" customHeight="1" s="263"/>
    <row r="267" ht="14.25" customFormat="1" customHeight="1" s="263"/>
    <row r="268" ht="14.25" customFormat="1" customHeight="1" s="263"/>
    <row r="269" ht="14.25" customFormat="1" customHeight="1" s="263"/>
    <row r="270" ht="14.25" customFormat="1" customHeight="1" s="263"/>
    <row r="271" ht="14.25" customFormat="1" customHeight="1" s="263"/>
    <row r="272" ht="14.25" customFormat="1" customHeight="1" s="263"/>
    <row r="273" ht="14.25" customFormat="1" customHeight="1" s="263"/>
    <row r="274" ht="14.25" customFormat="1" customHeight="1" s="263"/>
    <row r="275" ht="14.25" customFormat="1" customHeight="1" s="263"/>
    <row r="276" ht="14.25" customFormat="1" customHeight="1" s="263"/>
    <row r="277" ht="14.25" customFormat="1" customHeight="1" s="263"/>
    <row r="278" ht="14.25" customFormat="1" customHeight="1" s="263"/>
    <row r="279" ht="14.25" customFormat="1" customHeight="1" s="263"/>
    <row r="280" ht="14.25" customFormat="1" customHeight="1" s="263"/>
    <row r="281" ht="14.25" customFormat="1" customHeight="1" s="263"/>
    <row r="282" ht="14.25" customFormat="1" customHeight="1" s="263"/>
    <row r="283" ht="14.25" customFormat="1" customHeight="1" s="263"/>
    <row r="284" ht="14.25" customFormat="1" customHeight="1" s="263"/>
    <row r="285" ht="14.25" customFormat="1" customHeight="1" s="263"/>
    <row r="286" ht="14.25" customFormat="1" customHeight="1" s="263"/>
    <row r="287" ht="14.25" customFormat="1" customHeight="1" s="263"/>
    <row r="288" ht="14.25" customFormat="1" customHeight="1" s="263"/>
    <row r="289" ht="14.25" customFormat="1" customHeight="1" s="263"/>
    <row r="290" ht="14.25" customFormat="1" customHeight="1" s="263"/>
    <row r="291" ht="14.25" customFormat="1" customHeight="1" s="263"/>
    <row r="292" ht="14.25" customFormat="1" customHeight="1" s="263"/>
    <row r="293" ht="14.25" customFormat="1" customHeight="1" s="263"/>
    <row r="294" ht="14.25" customFormat="1" customHeight="1" s="263"/>
    <row r="295" ht="14.25" customFormat="1" customHeight="1" s="263"/>
    <row r="296" ht="14.25" customFormat="1" customHeight="1" s="263"/>
    <row r="297" ht="14.25" customFormat="1" customHeight="1" s="263"/>
    <row r="298" ht="14.25" customFormat="1" customHeight="1" s="263"/>
    <row r="299" ht="14.25" customFormat="1" customHeight="1" s="263"/>
    <row r="300" ht="14.25" customFormat="1" customHeight="1" s="263"/>
    <row r="301" ht="14.25" customFormat="1" customHeight="1" s="263"/>
    <row r="302" ht="14.25" customFormat="1" customHeight="1" s="263"/>
    <row r="303" ht="14.25" customFormat="1" customHeight="1" s="263"/>
    <row r="304" ht="14.25" customFormat="1" customHeight="1" s="263"/>
    <row r="305" ht="14.25" customFormat="1" customHeight="1" s="263"/>
    <row r="306" ht="14.25" customFormat="1" customHeight="1" s="263"/>
    <row r="307" ht="14.25" customFormat="1" customHeight="1" s="263"/>
    <row r="308" ht="14.25" customFormat="1" customHeight="1" s="263"/>
    <row r="309" ht="14.25" customFormat="1" customHeight="1" s="263"/>
    <row r="310" ht="14.25" customFormat="1" customHeight="1" s="263"/>
    <row r="311" ht="14.25" customFormat="1" customHeight="1" s="263"/>
    <row r="312" ht="14.25" customFormat="1" customHeight="1" s="263"/>
    <row r="313" ht="14.25" customFormat="1" customHeight="1" s="263"/>
    <row r="314" ht="14.25" customFormat="1" customHeight="1" s="263"/>
    <row r="315" ht="14.25" customFormat="1" customHeight="1" s="263"/>
    <row r="316" ht="14.25" customFormat="1" customHeight="1" s="263"/>
    <row r="317" ht="14.25" customFormat="1" customHeight="1" s="263"/>
    <row r="318" ht="14.25" customFormat="1" customHeight="1" s="263"/>
    <row r="319" ht="14.25" customFormat="1" customHeight="1" s="263"/>
    <row r="320" ht="14.25" customFormat="1" customHeight="1" s="263"/>
    <row r="321" ht="14.25" customFormat="1" customHeight="1" s="263"/>
    <row r="322" ht="14.25" customFormat="1" customHeight="1" s="263"/>
    <row r="323" ht="14.25" customFormat="1" customHeight="1" s="263"/>
    <row r="324" ht="14.25" customFormat="1" customHeight="1" s="263"/>
    <row r="325" ht="14.25" customFormat="1" customHeight="1" s="263"/>
    <row r="326" ht="14.25" customFormat="1" customHeight="1" s="263"/>
    <row r="327" ht="14.25" customFormat="1" customHeight="1" s="263"/>
    <row r="328" ht="14.25" customFormat="1" customHeight="1" s="263"/>
    <row r="329" ht="14.25" customFormat="1" customHeight="1" s="263"/>
    <row r="330" ht="14.25" customFormat="1" customHeight="1" s="263"/>
    <row r="331" ht="14.25" customFormat="1" customHeight="1" s="263"/>
    <row r="332" ht="14.25" customFormat="1" customHeight="1" s="263"/>
    <row r="333" ht="14.25" customFormat="1" customHeight="1" s="263"/>
    <row r="334" ht="14.25" customFormat="1" customHeight="1" s="263"/>
    <row r="335" ht="14.25" customFormat="1" customHeight="1" s="263"/>
    <row r="336" ht="14.25" customFormat="1" customHeight="1" s="263"/>
    <row r="337" ht="14.25" customFormat="1" customHeight="1" s="263"/>
    <row r="338" ht="14.25" customFormat="1" customHeight="1" s="263"/>
    <row r="339" ht="14.25" customFormat="1" customHeight="1" s="263"/>
    <row r="340" ht="14.25" customFormat="1" customHeight="1" s="263"/>
    <row r="341" ht="14.25" customFormat="1" customHeight="1" s="263"/>
    <row r="342" ht="14.25" customFormat="1" customHeight="1" s="263"/>
    <row r="343" ht="14.25" customFormat="1" customHeight="1" s="263"/>
    <row r="344" ht="14.25" customFormat="1" customHeight="1" s="263"/>
    <row r="345" ht="14.25" customFormat="1" customHeight="1" s="263"/>
    <row r="346" ht="14.25" customFormat="1" customHeight="1" s="263"/>
    <row r="347" ht="14.25" customFormat="1" customHeight="1" s="263"/>
    <row r="348" ht="14.25" customFormat="1" customHeight="1" s="263"/>
    <row r="349" ht="14.25" customFormat="1" customHeight="1" s="263"/>
    <row r="350" ht="14.25" customFormat="1" customHeight="1" s="263"/>
    <row r="351" ht="14.25" customFormat="1" customHeight="1" s="263"/>
    <row r="352" ht="14.25" customFormat="1" customHeight="1" s="263"/>
    <row r="353" ht="14.25" customFormat="1" customHeight="1" s="263"/>
    <row r="354" ht="14.25" customFormat="1" customHeight="1" s="263"/>
    <row r="355" ht="14.25" customFormat="1" customHeight="1" s="263"/>
    <row r="356" ht="14.25" customFormat="1" customHeight="1" s="263"/>
    <row r="357" ht="14.25" customFormat="1" customHeight="1" s="263"/>
    <row r="358" ht="14.25" customFormat="1" customHeight="1" s="263"/>
    <row r="359" ht="14.25" customFormat="1" customHeight="1" s="263"/>
    <row r="360" ht="14.25" customFormat="1" customHeight="1" s="263"/>
    <row r="361" ht="14.25" customFormat="1" customHeight="1" s="263"/>
    <row r="362" ht="14.25" customFormat="1" customHeight="1" s="263"/>
    <row r="363" ht="14.25" customFormat="1" customHeight="1" s="263"/>
    <row r="364" ht="14.25" customFormat="1" customHeight="1" s="263"/>
    <row r="365" ht="14.25" customFormat="1" customHeight="1" s="263"/>
    <row r="366" ht="14.25" customFormat="1" customHeight="1" s="263"/>
    <row r="367" ht="14.25" customFormat="1" customHeight="1" s="263"/>
    <row r="368" ht="14.25" customFormat="1" customHeight="1" s="263"/>
    <row r="369" ht="14.25" customFormat="1" customHeight="1" s="263"/>
    <row r="370" ht="14.25" customFormat="1" customHeight="1" s="263"/>
    <row r="371" ht="14.25" customFormat="1" customHeight="1" s="263"/>
    <row r="372" ht="14.25" customFormat="1" customHeight="1" s="263"/>
    <row r="373" ht="14.25" customFormat="1" customHeight="1" s="263"/>
    <row r="374" ht="14.25" customFormat="1" customHeight="1" s="263"/>
    <row r="375" ht="14.25" customFormat="1" customHeight="1" s="263"/>
    <row r="376" ht="14.25" customFormat="1" customHeight="1" s="263"/>
    <row r="377" ht="14.25" customFormat="1" customHeight="1" s="263"/>
    <row r="378" ht="14.25" customFormat="1" customHeight="1" s="263"/>
    <row r="379" ht="14.25" customFormat="1" customHeight="1" s="263"/>
    <row r="380" ht="14.25" customFormat="1" customHeight="1" s="263"/>
    <row r="381" ht="14.25" customFormat="1" customHeight="1" s="263"/>
    <row r="382" ht="14.25" customFormat="1" customHeight="1" s="263"/>
    <row r="383" ht="14.25" customFormat="1" customHeight="1" s="263"/>
    <row r="384" ht="14.25" customFormat="1" customHeight="1" s="263"/>
    <row r="385" ht="14.25" customFormat="1" customHeight="1" s="263"/>
    <row r="386" ht="14.25" customFormat="1" customHeight="1" s="263"/>
    <row r="387" ht="14.25" customFormat="1" customHeight="1" s="263"/>
    <row r="388" ht="14.25" customFormat="1" customHeight="1" s="263"/>
    <row r="389" ht="14.25" customFormat="1" customHeight="1" s="263"/>
    <row r="390" ht="14.25" customFormat="1" customHeight="1" s="263"/>
    <row r="391" ht="14.25" customFormat="1" customHeight="1" s="263"/>
    <row r="392" ht="14.25" customFormat="1" customHeight="1" s="263"/>
    <row r="393" ht="14.25" customFormat="1" customHeight="1" s="263"/>
    <row r="394" ht="14.25" customFormat="1" customHeight="1" s="263"/>
    <row r="395" ht="14.25" customFormat="1" customHeight="1" s="263"/>
    <row r="396" ht="14.25" customFormat="1" customHeight="1" s="263"/>
    <row r="397" ht="14.25" customFormat="1" customHeight="1" s="263"/>
    <row r="398" ht="14.25" customFormat="1" customHeight="1" s="263"/>
    <row r="399" ht="14.25" customFormat="1" customHeight="1" s="263"/>
    <row r="400" ht="14.25" customFormat="1" customHeight="1" s="263"/>
    <row r="401" ht="14.25" customFormat="1" customHeight="1" s="263"/>
    <row r="402" ht="14.25" customFormat="1" customHeight="1" s="263"/>
    <row r="403" ht="14.25" customFormat="1" customHeight="1" s="263"/>
    <row r="404" ht="14.25" customFormat="1" customHeight="1" s="263"/>
    <row r="405" ht="14.25" customFormat="1" customHeight="1" s="263"/>
    <row r="406" ht="14.25" customFormat="1" customHeight="1" s="263"/>
    <row r="407" ht="14.25" customFormat="1" customHeight="1" s="263"/>
    <row r="408" ht="14.25" customFormat="1" customHeight="1" s="263"/>
    <row r="409" ht="14.25" customFormat="1" customHeight="1" s="263"/>
    <row r="410" ht="14.25" customFormat="1" customHeight="1" s="263"/>
    <row r="411" ht="14.25" customFormat="1" customHeight="1" s="263"/>
    <row r="412" ht="14.25" customFormat="1" customHeight="1" s="263"/>
    <row r="413" ht="14.25" customFormat="1" customHeight="1" s="263"/>
    <row r="414" ht="14.25" customFormat="1" customHeight="1" s="263"/>
    <row r="415" ht="14.25" customFormat="1" customHeight="1" s="263"/>
    <row r="416" ht="14.25" customFormat="1" customHeight="1" s="263"/>
    <row r="417" ht="14.25" customFormat="1" customHeight="1" s="263"/>
    <row r="418" ht="14.25" customFormat="1" customHeight="1" s="263"/>
    <row r="419" ht="14.25" customFormat="1" customHeight="1" s="263"/>
    <row r="420" ht="14.25" customFormat="1" customHeight="1" s="263"/>
    <row r="421" ht="14.25" customFormat="1" customHeight="1" s="263"/>
    <row r="422" ht="14.25" customFormat="1" customHeight="1" s="263"/>
    <row r="423" ht="14.25" customFormat="1" customHeight="1" s="263"/>
    <row r="424" ht="14.25" customFormat="1" customHeight="1" s="263"/>
    <row r="425" ht="14.25" customFormat="1" customHeight="1" s="263"/>
    <row r="426" ht="14.25" customFormat="1" customHeight="1" s="263"/>
    <row r="427" ht="14.25" customFormat="1" customHeight="1" s="263"/>
    <row r="428" ht="14.25" customFormat="1" customHeight="1" s="263"/>
    <row r="429" ht="14.25" customFormat="1" customHeight="1" s="263"/>
    <row r="430" ht="14.25" customFormat="1" customHeight="1" s="263"/>
    <row r="431" ht="14.25" customFormat="1" customHeight="1" s="263"/>
    <row r="432" ht="14.25" customFormat="1" customHeight="1" s="263"/>
    <row r="433" ht="14.25" customFormat="1" customHeight="1" s="263"/>
    <row r="434" ht="14.25" customFormat="1" customHeight="1" s="263"/>
    <row r="435" ht="14.25" customFormat="1" customHeight="1" s="263"/>
    <row r="436" ht="14.25" customFormat="1" customHeight="1" s="263"/>
    <row r="437" ht="14.25" customFormat="1" customHeight="1" s="263"/>
    <row r="438" ht="14.25" customFormat="1" customHeight="1" s="263"/>
    <row r="439" ht="14.25" customFormat="1" customHeight="1" s="263"/>
    <row r="440" ht="14.25" customFormat="1" customHeight="1" s="263"/>
    <row r="441" ht="14.25" customFormat="1" customHeight="1" s="263"/>
    <row r="442" ht="14.25" customFormat="1" customHeight="1" s="263"/>
    <row r="443" ht="14.25" customFormat="1" customHeight="1" s="263"/>
    <row r="444" ht="14.25" customFormat="1" customHeight="1" s="263"/>
    <row r="445" ht="14.25" customFormat="1" customHeight="1" s="263"/>
    <row r="446" ht="14.25" customFormat="1" customHeight="1" s="263"/>
    <row r="447" ht="14.25" customFormat="1" customHeight="1" s="263"/>
    <row r="448" ht="14.25" customFormat="1" customHeight="1" s="263"/>
    <row r="449" ht="14.25" customFormat="1" customHeight="1" s="263"/>
    <row r="450" ht="14.25" customFormat="1" customHeight="1" s="263"/>
    <row r="451" ht="14.25" customFormat="1" customHeight="1" s="263"/>
    <row r="452" ht="14.25" customFormat="1" customHeight="1" s="263"/>
    <row r="453" ht="14.25" customFormat="1" customHeight="1" s="263"/>
    <row r="454" ht="14.25" customFormat="1" customHeight="1" s="263"/>
    <row r="455" ht="14.25" customFormat="1" customHeight="1" s="263"/>
    <row r="456" ht="14.25" customFormat="1" customHeight="1" s="263"/>
    <row r="457" ht="14.25" customFormat="1" customHeight="1" s="263"/>
    <row r="458" ht="14.25" customFormat="1" customHeight="1" s="263"/>
    <row r="459" ht="14.25" customFormat="1" customHeight="1" s="263"/>
    <row r="460" ht="14.25" customFormat="1" customHeight="1" s="263"/>
    <row r="461" ht="14.25" customFormat="1" customHeight="1" s="263"/>
    <row r="462" ht="14.25" customFormat="1" customHeight="1" s="263"/>
    <row r="463" ht="14.25" customFormat="1" customHeight="1" s="263"/>
    <row r="464" ht="14.25" customFormat="1" customHeight="1" s="263"/>
    <row r="465" ht="14.25" customFormat="1" customHeight="1" s="263"/>
    <row r="466" ht="14.25" customFormat="1" customHeight="1" s="263"/>
    <row r="467" ht="14.25" customFormat="1" customHeight="1" s="263"/>
    <row r="468" ht="14.25" customFormat="1" customHeight="1" s="263"/>
    <row r="469" ht="14.25" customFormat="1" customHeight="1" s="263"/>
    <row r="470" ht="14.25" customFormat="1" customHeight="1" s="263"/>
    <row r="471" ht="14.25" customFormat="1" customHeight="1" s="263"/>
    <row r="472" ht="14.25" customFormat="1" customHeight="1" s="263"/>
    <row r="473" ht="14.25" customFormat="1" customHeight="1" s="263"/>
    <row r="474" ht="14.25" customFormat="1" customHeight="1" s="263"/>
    <row r="475" ht="14.25" customFormat="1" customHeight="1" s="263"/>
    <row r="476" ht="14.25" customFormat="1" customHeight="1" s="263"/>
    <row r="477" ht="14.25" customFormat="1" customHeight="1" s="263"/>
    <row r="478" ht="14.25" customFormat="1" customHeight="1" s="263"/>
    <row r="479" ht="14.25" customFormat="1" customHeight="1" s="263"/>
    <row r="480" ht="14.25" customFormat="1" customHeight="1" s="263"/>
    <row r="481" ht="14.25" customFormat="1" customHeight="1" s="263"/>
    <row r="482" ht="14.25" customFormat="1" customHeight="1" s="263"/>
    <row r="483" ht="14.25" customFormat="1" customHeight="1" s="263"/>
    <row r="484" ht="14.25" customFormat="1" customHeight="1" s="263"/>
    <row r="485" ht="14.25" customFormat="1" customHeight="1" s="263"/>
    <row r="486" ht="14.25" customFormat="1" customHeight="1" s="263"/>
    <row r="487" ht="14.25" customFormat="1" customHeight="1" s="263"/>
    <row r="488" ht="14.25" customFormat="1" customHeight="1" s="263"/>
    <row r="489" ht="14.25" customFormat="1" customHeight="1" s="263"/>
    <row r="490" ht="14.25" customFormat="1" customHeight="1" s="263"/>
    <row r="491" ht="14.25" customFormat="1" customHeight="1" s="263"/>
    <row r="492" ht="14.25" customFormat="1" customHeight="1" s="263"/>
    <row r="493" ht="14.25" customFormat="1" customHeight="1" s="263"/>
    <row r="494" ht="14.25" customFormat="1" customHeight="1" s="263"/>
    <row r="495" ht="14.25" customFormat="1" customHeight="1" s="263"/>
    <row r="496" ht="14.25" customFormat="1" customHeight="1" s="263"/>
    <row r="497" ht="14.25" customFormat="1" customHeight="1" s="263"/>
    <row r="498" ht="14.25" customFormat="1" customHeight="1" s="263"/>
    <row r="499" ht="14.25" customFormat="1" customHeight="1" s="263"/>
    <row r="500" ht="14.25" customFormat="1" customHeight="1" s="263"/>
    <row r="501" ht="14.25" customFormat="1" customHeight="1" s="263"/>
    <row r="502" ht="14.25" customFormat="1" customHeight="1" s="263"/>
    <row r="503" ht="14.25" customFormat="1" customHeight="1" s="263"/>
    <row r="504" ht="14.25" customFormat="1" customHeight="1" s="263"/>
    <row r="505" ht="14.25" customFormat="1" customHeight="1" s="263"/>
    <row r="506" ht="14.25" customFormat="1" customHeight="1" s="263"/>
    <row r="507" ht="14.25" customFormat="1" customHeight="1" s="263"/>
    <row r="508" ht="14.25" customFormat="1" customHeight="1" s="263"/>
    <row r="509" ht="14.25" customFormat="1" customHeight="1" s="263"/>
    <row r="510" ht="14.25" customFormat="1" customHeight="1" s="263"/>
    <row r="511" ht="14.25" customFormat="1" customHeight="1" s="263"/>
    <row r="512" ht="14.25" customFormat="1" customHeight="1" s="263"/>
    <row r="513" ht="14.25" customFormat="1" customHeight="1" s="263"/>
    <row r="514" ht="14.25" customFormat="1" customHeight="1" s="263"/>
    <row r="515" ht="14.25" customFormat="1" customHeight="1" s="263"/>
    <row r="516" ht="14.25" customFormat="1" customHeight="1" s="263"/>
    <row r="517" ht="14.25" customFormat="1" customHeight="1" s="263"/>
    <row r="518" ht="14.25" customFormat="1" customHeight="1" s="263"/>
    <row r="519" ht="14.25" customFormat="1" customHeight="1" s="263"/>
    <row r="520" ht="14.25" customFormat="1" customHeight="1" s="263"/>
    <row r="521" ht="14.25" customFormat="1" customHeight="1" s="263"/>
    <row r="522" ht="14.25" customFormat="1" customHeight="1" s="263"/>
    <row r="523" ht="14.25" customFormat="1" customHeight="1" s="263"/>
    <row r="524" ht="14.25" customFormat="1" customHeight="1" s="263"/>
    <row r="525" ht="14.25" customFormat="1" customHeight="1" s="263"/>
    <row r="526" ht="14.25" customFormat="1" customHeight="1" s="263"/>
    <row r="527" ht="14.25" customFormat="1" customHeight="1" s="263"/>
    <row r="528" ht="14.25" customFormat="1" customHeight="1" s="263"/>
    <row r="529" ht="14.25" customFormat="1" customHeight="1" s="263"/>
    <row r="530" ht="14.25" customFormat="1" customHeight="1" s="263"/>
    <row r="531" ht="14.25" customFormat="1" customHeight="1" s="263"/>
    <row r="532" ht="14.25" customFormat="1" customHeight="1" s="263"/>
    <row r="533" ht="14.25" customFormat="1" customHeight="1" s="263"/>
    <row r="534" ht="14.25" customFormat="1" customHeight="1" s="263"/>
    <row r="535" ht="14.25" customFormat="1" customHeight="1" s="263"/>
    <row r="536" ht="14.25" customFormat="1" customHeight="1" s="263"/>
    <row r="537" ht="14.25" customFormat="1" customHeight="1" s="263"/>
    <row r="538" ht="14.25" customFormat="1" customHeight="1" s="263"/>
    <row r="539" ht="14.25" customFormat="1" customHeight="1" s="263"/>
    <row r="540" ht="14.25" customFormat="1" customHeight="1" s="263"/>
    <row r="541" ht="14.25" customFormat="1" customHeight="1" s="263"/>
    <row r="542" ht="14.25" customFormat="1" customHeight="1" s="263"/>
    <row r="543" ht="14.25" customFormat="1" customHeight="1" s="263"/>
    <row r="544" ht="14.25" customFormat="1" customHeight="1" s="263"/>
    <row r="545" ht="14.25" customFormat="1" customHeight="1" s="263"/>
    <row r="546" ht="14.25" customFormat="1" customHeight="1" s="263"/>
    <row r="547" ht="14.25" customFormat="1" customHeight="1" s="263"/>
    <row r="548" ht="14.25" customFormat="1" customHeight="1" s="263"/>
    <row r="549" ht="14.25" customFormat="1" customHeight="1" s="263"/>
    <row r="550" ht="14.25" customFormat="1" customHeight="1" s="263"/>
    <row r="551" ht="14.25" customFormat="1" customHeight="1" s="263"/>
    <row r="552" ht="14.25" customFormat="1" customHeight="1" s="263"/>
    <row r="553" ht="14.25" customFormat="1" customHeight="1" s="263"/>
    <row r="554" ht="14.25" customFormat="1" customHeight="1" s="263"/>
    <row r="555" ht="14.25" customFormat="1" customHeight="1" s="263"/>
    <row r="556" ht="14.25" customFormat="1" customHeight="1" s="263"/>
    <row r="557" ht="14.25" customFormat="1" customHeight="1" s="263"/>
    <row r="558" ht="14.25" customFormat="1" customHeight="1" s="263"/>
    <row r="559" ht="14.25" customFormat="1" customHeight="1" s="263"/>
    <row r="560" ht="14.25" customFormat="1" customHeight="1" s="263"/>
    <row r="561" ht="14.25" customFormat="1" customHeight="1" s="263"/>
    <row r="562" ht="14.25" customFormat="1" customHeight="1" s="263"/>
    <row r="563" ht="14.25" customFormat="1" customHeight="1" s="263"/>
    <row r="564" ht="14.25" customFormat="1" customHeight="1" s="263"/>
    <row r="565" ht="14.25" customFormat="1" customHeight="1" s="263"/>
    <row r="566" ht="14.25" customFormat="1" customHeight="1" s="263"/>
    <row r="567" ht="14.25" customFormat="1" customHeight="1" s="263"/>
    <row r="568" ht="14.25" customFormat="1" customHeight="1" s="263"/>
    <row r="569" ht="14.25" customFormat="1" customHeight="1" s="263"/>
    <row r="570" ht="14.25" customFormat="1" customHeight="1" s="263"/>
    <row r="571" ht="14.25" customFormat="1" customHeight="1" s="263"/>
    <row r="572" ht="14.25" customFormat="1" customHeight="1" s="263"/>
    <row r="573" ht="14.25" customFormat="1" customHeight="1" s="263"/>
    <row r="574" ht="14.25" customFormat="1" customHeight="1" s="263"/>
    <row r="575" ht="14.25" customFormat="1" customHeight="1" s="263"/>
    <row r="576" ht="14.25" customFormat="1" customHeight="1" s="263"/>
    <row r="577" ht="14.25" customFormat="1" customHeight="1" s="263"/>
    <row r="578" ht="14.25" customFormat="1" customHeight="1" s="263"/>
    <row r="579" ht="14.25" customFormat="1" customHeight="1" s="263"/>
    <row r="580" ht="14.25" customFormat="1" customHeight="1" s="263"/>
    <row r="581" ht="14.25" customFormat="1" customHeight="1" s="263"/>
    <row r="582" ht="14.25" customFormat="1" customHeight="1" s="263"/>
    <row r="583" ht="14.25" customFormat="1" customHeight="1" s="263"/>
    <row r="584" ht="14.25" customFormat="1" customHeight="1" s="263"/>
    <row r="585" ht="14.25" customFormat="1" customHeight="1" s="263"/>
    <row r="586" ht="14.25" customFormat="1" customHeight="1" s="263"/>
    <row r="587" ht="14.25" customFormat="1" customHeight="1" s="263"/>
    <row r="588" ht="14.25" customFormat="1" customHeight="1" s="263"/>
    <row r="589" ht="14.25" customFormat="1" customHeight="1" s="263"/>
    <row r="590" ht="14.25" customFormat="1" customHeight="1" s="263"/>
    <row r="591" ht="14.25" customFormat="1" customHeight="1" s="263"/>
    <row r="592" ht="14.25" customFormat="1" customHeight="1" s="263"/>
    <row r="593" ht="14.25" customFormat="1" customHeight="1" s="263"/>
    <row r="594" ht="14.25" customFormat="1" customHeight="1" s="263"/>
    <row r="595" ht="14.25" customFormat="1" customHeight="1" s="263"/>
    <row r="596" ht="14.25" customFormat="1" customHeight="1" s="263"/>
    <row r="597" ht="14.25" customFormat="1" customHeight="1" s="263"/>
    <row r="598" ht="14.25" customFormat="1" customHeight="1" s="263"/>
    <row r="599" ht="14.25" customFormat="1" customHeight="1" s="263"/>
    <row r="600" ht="14.25" customFormat="1" customHeight="1" s="263"/>
    <row r="601" ht="14.25" customFormat="1" customHeight="1" s="263"/>
    <row r="602" ht="14.25" customFormat="1" customHeight="1" s="263"/>
    <row r="603" ht="14.25" customFormat="1" customHeight="1" s="263"/>
    <row r="604" ht="14.25" customFormat="1" customHeight="1" s="263"/>
    <row r="605" ht="14.25" customFormat="1" customHeight="1" s="263"/>
    <row r="606" ht="14.25" customFormat="1" customHeight="1" s="263"/>
    <row r="607" ht="14.25" customFormat="1" customHeight="1" s="263"/>
    <row r="608" ht="14.25" customFormat="1" customHeight="1" s="263"/>
    <row r="609" ht="14.25" customFormat="1" customHeight="1" s="263"/>
    <row r="610" ht="14.25" customFormat="1" customHeight="1" s="263"/>
    <row r="611" ht="14.25" customFormat="1" customHeight="1" s="263"/>
    <row r="612" ht="14.25" customFormat="1" customHeight="1" s="263"/>
    <row r="613" ht="14.25" customFormat="1" customHeight="1" s="263"/>
    <row r="614" ht="14.25" customFormat="1" customHeight="1" s="263"/>
    <row r="615" ht="14.25" customFormat="1" customHeight="1" s="263"/>
    <row r="616" ht="14.25" customFormat="1" customHeight="1" s="263"/>
    <row r="617" ht="14.25" customFormat="1" customHeight="1" s="263"/>
    <row r="618" ht="14.25" customFormat="1" customHeight="1" s="263"/>
    <row r="619" ht="14.25" customFormat="1" customHeight="1" s="263"/>
    <row r="620" ht="14.25" customFormat="1" customHeight="1" s="263"/>
    <row r="621" ht="14.25" customFormat="1" customHeight="1" s="263"/>
    <row r="622" ht="14.25" customFormat="1" customHeight="1" s="263"/>
    <row r="623" ht="14.25" customFormat="1" customHeight="1" s="263"/>
    <row r="624" ht="14.25" customFormat="1" customHeight="1" s="263"/>
    <row r="625" ht="14.25" customFormat="1" customHeight="1" s="263"/>
    <row r="626" ht="14.25" customFormat="1" customHeight="1" s="263"/>
    <row r="627" ht="14.25" customFormat="1" customHeight="1" s="263"/>
    <row r="628" ht="14.25" customFormat="1" customHeight="1" s="263"/>
    <row r="629" ht="14.25" customFormat="1" customHeight="1" s="263"/>
    <row r="630" ht="14.25" customFormat="1" customHeight="1" s="263"/>
    <row r="631" ht="14.25" customFormat="1" customHeight="1" s="263"/>
    <row r="632" ht="14.25" customFormat="1" customHeight="1" s="263"/>
    <row r="633" ht="14.25" customFormat="1" customHeight="1" s="263"/>
    <row r="634" ht="14.25" customFormat="1" customHeight="1" s="263"/>
    <row r="635" ht="14.25" customFormat="1" customHeight="1" s="263"/>
    <row r="636" ht="14.25" customFormat="1" customHeight="1" s="263"/>
    <row r="637" ht="14.25" customFormat="1" customHeight="1" s="263"/>
    <row r="638" ht="14.25" customFormat="1" customHeight="1" s="263"/>
    <row r="639" ht="14.25" customFormat="1" customHeight="1" s="263"/>
    <row r="640" ht="14.25" customFormat="1" customHeight="1" s="263"/>
    <row r="641" ht="14.25" customFormat="1" customHeight="1" s="263"/>
    <row r="642" ht="14.25" customFormat="1" customHeight="1" s="263"/>
    <row r="643" ht="14.25" customFormat="1" customHeight="1" s="263"/>
    <row r="644" ht="14.25" customFormat="1" customHeight="1" s="263"/>
    <row r="645" ht="14.25" customFormat="1" customHeight="1" s="263"/>
    <row r="646" ht="14.25" customFormat="1" customHeight="1" s="263"/>
    <row r="647" ht="14.25" customFormat="1" customHeight="1" s="263"/>
    <row r="648" ht="14.25" customFormat="1" customHeight="1" s="263"/>
    <row r="649" ht="14.25" customFormat="1" customHeight="1" s="263"/>
    <row r="650" ht="14.25" customFormat="1" customHeight="1" s="263"/>
    <row r="651" ht="14.25" customFormat="1" customHeight="1" s="263"/>
    <row r="652" ht="14.25" customFormat="1" customHeight="1" s="263"/>
    <row r="653" ht="14.25" customFormat="1" customHeight="1" s="263"/>
    <row r="654" ht="14.25" customFormat="1" customHeight="1" s="263"/>
    <row r="655" ht="14.25" customFormat="1" customHeight="1" s="263"/>
    <row r="656" ht="14.25" customFormat="1" customHeight="1" s="263"/>
    <row r="657" ht="14.25" customFormat="1" customHeight="1" s="263"/>
    <row r="658" ht="14.25" customFormat="1" customHeight="1" s="263"/>
    <row r="659" ht="14.25" customFormat="1" customHeight="1" s="263"/>
    <row r="660" ht="14.25" customFormat="1" customHeight="1" s="263"/>
    <row r="661" ht="14.25" customFormat="1" customHeight="1" s="263"/>
    <row r="662" ht="14.25" customFormat="1" customHeight="1" s="263"/>
    <row r="663" ht="14.25" customFormat="1" customHeight="1" s="263"/>
    <row r="664" ht="14.25" customFormat="1" customHeight="1" s="263"/>
    <row r="665" ht="14.25" customFormat="1" customHeight="1" s="263"/>
    <row r="666" ht="14.25" customFormat="1" customHeight="1" s="263"/>
    <row r="667" ht="14.25" customFormat="1" customHeight="1" s="263"/>
    <row r="668" ht="14.25" customFormat="1" customHeight="1" s="263"/>
    <row r="669" ht="14.25" customFormat="1" customHeight="1" s="263"/>
    <row r="670" ht="14.25" customFormat="1" customHeight="1" s="263"/>
    <row r="671" ht="14.25" customFormat="1" customHeight="1" s="263"/>
    <row r="672" ht="14.25" customFormat="1" customHeight="1" s="263"/>
    <row r="673" ht="14.25" customFormat="1" customHeight="1" s="263"/>
    <row r="674" ht="14.25" customFormat="1" customHeight="1" s="263"/>
    <row r="675" ht="14.25" customFormat="1" customHeight="1" s="263"/>
    <row r="676" ht="14.25" customFormat="1" customHeight="1" s="263"/>
    <row r="677" ht="14.25" customFormat="1" customHeight="1" s="263"/>
    <row r="678" ht="14.25" customFormat="1" customHeight="1" s="263"/>
    <row r="679" ht="14.25" customFormat="1" customHeight="1" s="263"/>
    <row r="680" ht="14.25" customFormat="1" customHeight="1" s="263"/>
    <row r="681" ht="14.25" customFormat="1" customHeight="1" s="263"/>
    <row r="682" ht="14.25" customFormat="1" customHeight="1" s="263"/>
    <row r="683" ht="14.25" customFormat="1" customHeight="1" s="263"/>
    <row r="684" ht="14.25" customFormat="1" customHeight="1" s="263"/>
    <row r="685" ht="14.25" customFormat="1" customHeight="1" s="263"/>
    <row r="686" ht="14.25" customFormat="1" customHeight="1" s="263"/>
    <row r="687" ht="14.25" customFormat="1" customHeight="1" s="263"/>
    <row r="688" ht="14.25" customFormat="1" customHeight="1" s="263"/>
    <row r="689" ht="14.25" customFormat="1" customHeight="1" s="263"/>
    <row r="690" ht="14.25" customFormat="1" customHeight="1" s="263"/>
    <row r="691" ht="14.25" customFormat="1" customHeight="1" s="263"/>
    <row r="692" ht="14.25" customFormat="1" customHeight="1" s="263"/>
    <row r="693" ht="14.25" customFormat="1" customHeight="1" s="263"/>
    <row r="694" ht="14.25" customFormat="1" customHeight="1" s="263"/>
    <row r="695" ht="14.25" customFormat="1" customHeight="1" s="263"/>
    <row r="696" ht="14.25" customFormat="1" customHeight="1" s="263"/>
    <row r="697" ht="14.25" customFormat="1" customHeight="1" s="263"/>
    <row r="698" ht="14.25" customFormat="1" customHeight="1" s="263"/>
    <row r="699" ht="14.25" customFormat="1" customHeight="1" s="263"/>
    <row r="700" ht="14.25" customFormat="1" customHeight="1" s="263"/>
    <row r="701" ht="14.25" customFormat="1" customHeight="1" s="263"/>
    <row r="702" ht="14.25" customFormat="1" customHeight="1" s="263"/>
    <row r="703" ht="14.25" customFormat="1" customHeight="1" s="263"/>
    <row r="704" ht="14.25" customFormat="1" customHeight="1" s="263"/>
    <row r="705" ht="14.25" customFormat="1" customHeight="1" s="263"/>
    <row r="706" ht="14.25" customFormat="1" customHeight="1" s="263"/>
    <row r="707" ht="14.25" customFormat="1" customHeight="1" s="263"/>
    <row r="708" ht="14.25" customFormat="1" customHeight="1" s="263"/>
    <row r="709" ht="14.25" customFormat="1" customHeight="1" s="263"/>
    <row r="710" ht="14.25" customFormat="1" customHeight="1" s="263"/>
    <row r="711" ht="14.25" customFormat="1" customHeight="1" s="263"/>
    <row r="712" ht="14.25" customFormat="1" customHeight="1" s="263"/>
    <row r="713" ht="14.25" customFormat="1" customHeight="1" s="263"/>
    <row r="714" ht="14.25" customFormat="1" customHeight="1" s="263"/>
    <row r="715" ht="14.25" customFormat="1" customHeight="1" s="263"/>
    <row r="716" ht="14.25" customFormat="1" customHeight="1" s="263"/>
    <row r="717" ht="14.25" customFormat="1" customHeight="1" s="263"/>
    <row r="718" ht="14.25" customFormat="1" customHeight="1" s="263"/>
    <row r="719" ht="14.25" customFormat="1" customHeight="1" s="263"/>
    <row r="720" ht="14.25" customFormat="1" customHeight="1" s="263"/>
    <row r="721" ht="14.25" customFormat="1" customHeight="1" s="263"/>
    <row r="722" ht="14.25" customFormat="1" customHeight="1" s="263"/>
    <row r="723" ht="14.25" customFormat="1" customHeight="1" s="263"/>
    <row r="724" ht="14.25" customFormat="1" customHeight="1" s="263"/>
    <row r="725" ht="14.25" customFormat="1" customHeight="1" s="263"/>
    <row r="726" ht="14.25" customFormat="1" customHeight="1" s="263"/>
    <row r="727" ht="14.25" customFormat="1" customHeight="1" s="263"/>
    <row r="728" ht="14.25" customFormat="1" customHeight="1" s="263"/>
    <row r="729" ht="14.25" customFormat="1" customHeight="1" s="263"/>
    <row r="730" ht="14.25" customFormat="1" customHeight="1" s="263"/>
    <row r="731" ht="14.25" customFormat="1" customHeight="1" s="263"/>
    <row r="732" ht="14.25" customFormat="1" customHeight="1" s="263"/>
    <row r="733" ht="14.25" customFormat="1" customHeight="1" s="263"/>
    <row r="734" ht="14.25" customFormat="1" customHeight="1" s="263"/>
    <row r="735" ht="14.25" customFormat="1" customHeight="1" s="263"/>
    <row r="736" ht="14.25" customFormat="1" customHeight="1" s="263"/>
    <row r="737" ht="14.25" customFormat="1" customHeight="1" s="263"/>
    <row r="738" ht="14.25" customFormat="1" customHeight="1" s="263"/>
    <row r="739" ht="14.25" customFormat="1" customHeight="1" s="263"/>
    <row r="740" ht="14.25" customFormat="1" customHeight="1" s="263"/>
    <row r="741" ht="14.25" customFormat="1" customHeight="1" s="263"/>
    <row r="742" ht="14.25" customFormat="1" customHeight="1" s="263"/>
    <row r="743" ht="14.25" customFormat="1" customHeight="1" s="263"/>
    <row r="744" ht="14.25" customFormat="1" customHeight="1" s="263"/>
    <row r="745" ht="14.25" customFormat="1" customHeight="1" s="263"/>
    <row r="746" ht="14.25" customFormat="1" customHeight="1" s="263"/>
    <row r="747" ht="14.25" customFormat="1" customHeight="1" s="263"/>
    <row r="748" ht="14.25" customFormat="1" customHeight="1" s="263"/>
    <row r="749" ht="14.25" customFormat="1" customHeight="1" s="263"/>
    <row r="750" ht="14.25" customFormat="1" customHeight="1" s="263"/>
    <row r="751" ht="14.25" customFormat="1" customHeight="1" s="263"/>
    <row r="752" ht="14.25" customFormat="1" customHeight="1" s="263"/>
    <row r="753" ht="14.25" customFormat="1" customHeight="1" s="263"/>
    <row r="754" ht="14.25" customFormat="1" customHeight="1" s="263"/>
    <row r="755" ht="14.25" customFormat="1" customHeight="1" s="263"/>
    <row r="756" ht="14.25" customFormat="1" customHeight="1" s="263"/>
    <row r="757" ht="14.25" customFormat="1" customHeight="1" s="263"/>
    <row r="758" ht="14.25" customFormat="1" customHeight="1" s="263"/>
    <row r="759" ht="14.25" customFormat="1" customHeight="1" s="263"/>
    <row r="760" ht="14.25" customFormat="1" customHeight="1" s="263"/>
    <row r="761" ht="14.25" customFormat="1" customHeight="1" s="263"/>
    <row r="762" ht="14.25" customFormat="1" customHeight="1" s="263"/>
    <row r="763" ht="14.25" customFormat="1" customHeight="1" s="263"/>
    <row r="764" ht="14.25" customFormat="1" customHeight="1" s="263"/>
    <row r="765" ht="14.25" customFormat="1" customHeight="1" s="263"/>
    <row r="766" ht="14.25" customFormat="1" customHeight="1" s="263"/>
    <row r="767" ht="14.25" customFormat="1" customHeight="1" s="263"/>
    <row r="768" ht="14.25" customFormat="1" customHeight="1" s="263"/>
    <row r="769" ht="14.25" customFormat="1" customHeight="1" s="263"/>
    <row r="770" ht="14.25" customFormat="1" customHeight="1" s="263"/>
    <row r="771" ht="14.25" customFormat="1" customHeight="1" s="263"/>
    <row r="772" ht="14.25" customFormat="1" customHeight="1" s="263"/>
    <row r="773" ht="14.25" customFormat="1" customHeight="1" s="263"/>
    <row r="774" ht="14.25" customFormat="1" customHeight="1" s="263"/>
    <row r="775" ht="14.25" customFormat="1" customHeight="1" s="263"/>
    <row r="776" ht="14.25" customFormat="1" customHeight="1" s="263"/>
    <row r="777" ht="14.25" customFormat="1" customHeight="1" s="263"/>
    <row r="778" ht="14.25" customFormat="1" customHeight="1" s="263"/>
    <row r="779" ht="14.25" customFormat="1" customHeight="1" s="263"/>
    <row r="780" ht="14.25" customFormat="1" customHeight="1" s="263"/>
    <row r="781" ht="14.25" customFormat="1" customHeight="1" s="263"/>
    <row r="782" ht="14.25" customFormat="1" customHeight="1" s="263"/>
    <row r="783" ht="14.25" customFormat="1" customHeight="1" s="263"/>
    <row r="784" ht="14.25" customFormat="1" customHeight="1" s="263"/>
    <row r="785" ht="14.25" customFormat="1" customHeight="1" s="263"/>
    <row r="786" ht="14.25" customFormat="1" customHeight="1" s="263"/>
    <row r="787" ht="14.25" customFormat="1" customHeight="1" s="263"/>
    <row r="788" ht="14.25" customFormat="1" customHeight="1" s="263"/>
    <row r="789" ht="14.25" customFormat="1" customHeight="1" s="263"/>
    <row r="790" ht="14.25" customFormat="1" customHeight="1" s="263"/>
    <row r="791" ht="14.25" customFormat="1" customHeight="1" s="263"/>
    <row r="792" ht="14.25" customFormat="1" customHeight="1" s="263"/>
    <row r="793" ht="14.25" customFormat="1" customHeight="1" s="263"/>
    <row r="794" ht="14.25" customFormat="1" customHeight="1" s="263"/>
    <row r="795" ht="14.25" customFormat="1" customHeight="1" s="263"/>
    <row r="796" ht="14.25" customFormat="1" customHeight="1" s="263"/>
    <row r="797" ht="14.25" customFormat="1" customHeight="1" s="263"/>
    <row r="798" ht="14.25" customFormat="1" customHeight="1" s="263"/>
    <row r="799" ht="14.25" customFormat="1" customHeight="1" s="263"/>
    <row r="800" ht="14.25" customFormat="1" customHeight="1" s="263"/>
    <row r="801" ht="14.25" customFormat="1" customHeight="1" s="263"/>
    <row r="802" ht="14.25" customFormat="1" customHeight="1" s="263"/>
    <row r="803" ht="14.25" customFormat="1" customHeight="1" s="263"/>
    <row r="804" ht="14.25" customFormat="1" customHeight="1" s="263"/>
    <row r="805" ht="14.25" customFormat="1" customHeight="1" s="263"/>
    <row r="806" ht="14.25" customFormat="1" customHeight="1" s="263"/>
    <row r="807" ht="14.25" customFormat="1" customHeight="1" s="263"/>
    <row r="808" ht="14.25" customFormat="1" customHeight="1" s="263"/>
    <row r="809" ht="14.25" customFormat="1" customHeight="1" s="263"/>
    <row r="810" ht="14.25" customFormat="1" customHeight="1" s="263"/>
    <row r="811" ht="14.25" customFormat="1" customHeight="1" s="263"/>
    <row r="812" ht="14.25" customFormat="1" customHeight="1" s="263"/>
    <row r="813" ht="14.25" customFormat="1" customHeight="1" s="263"/>
    <row r="814" ht="14.25" customFormat="1" customHeight="1" s="263"/>
    <row r="815" ht="14.25" customFormat="1" customHeight="1" s="263"/>
    <row r="816" ht="14.25" customFormat="1" customHeight="1" s="263"/>
    <row r="817" ht="14.25" customFormat="1" customHeight="1" s="263"/>
    <row r="818" ht="14.25" customFormat="1" customHeight="1" s="263"/>
    <row r="819" ht="14.25" customFormat="1" customHeight="1" s="263"/>
    <row r="820" ht="14.25" customFormat="1" customHeight="1" s="263"/>
    <row r="821" ht="14.25" customFormat="1" customHeight="1" s="263"/>
    <row r="822" ht="14.25" customFormat="1" customHeight="1" s="263"/>
    <row r="823" ht="14.25" customFormat="1" customHeight="1" s="263"/>
    <row r="824" ht="14.25" customFormat="1" customHeight="1" s="263"/>
    <row r="825" ht="14.25" customFormat="1" customHeight="1" s="263"/>
    <row r="826" ht="14.25" customFormat="1" customHeight="1" s="263"/>
    <row r="827" ht="14.25" customFormat="1" customHeight="1" s="263"/>
    <row r="828" ht="14.25" customFormat="1" customHeight="1" s="263"/>
    <row r="829" ht="14.25" customFormat="1" customHeight="1" s="263"/>
    <row r="830" ht="14.25" customFormat="1" customHeight="1" s="263"/>
    <row r="831" ht="14.25" customFormat="1" customHeight="1" s="263"/>
    <row r="832" ht="14.25" customFormat="1" customHeight="1" s="263"/>
    <row r="833" ht="14.25" customFormat="1" customHeight="1" s="263"/>
    <row r="834" ht="14.25" customFormat="1" customHeight="1" s="263"/>
    <row r="835" ht="14.25" customFormat="1" customHeight="1" s="263"/>
    <row r="836" ht="14.25" customFormat="1" customHeight="1" s="263"/>
    <row r="837" ht="14.25" customFormat="1" customHeight="1" s="263"/>
    <row r="838" ht="14.25" customFormat="1" customHeight="1" s="263"/>
    <row r="839" ht="14.25" customFormat="1" customHeight="1" s="263"/>
    <row r="840" ht="14.25" customFormat="1" customHeight="1" s="263"/>
    <row r="841" ht="14.25" customFormat="1" customHeight="1" s="263"/>
    <row r="842" ht="14.25" customFormat="1" customHeight="1" s="263"/>
    <row r="843" ht="14.25" customFormat="1" customHeight="1" s="263"/>
    <row r="844" ht="14.25" customFormat="1" customHeight="1" s="263"/>
    <row r="845" ht="14.25" customFormat="1" customHeight="1" s="263"/>
    <row r="846" ht="14.25" customFormat="1" customHeight="1" s="263"/>
    <row r="847" ht="14.25" customFormat="1" customHeight="1" s="263"/>
    <row r="848" ht="14.25" customFormat="1" customHeight="1" s="263"/>
    <row r="849" ht="14.25" customFormat="1" customHeight="1" s="263"/>
    <row r="850" ht="14.25" customFormat="1" customHeight="1" s="263"/>
    <row r="851" ht="14.25" customFormat="1" customHeight="1" s="263"/>
    <row r="852" ht="14.25" customFormat="1" customHeight="1" s="263"/>
    <row r="853" ht="14.25" customFormat="1" customHeight="1" s="263"/>
    <row r="854" ht="14.25" customFormat="1" customHeight="1" s="263"/>
    <row r="855" ht="14.25" customFormat="1" customHeight="1" s="263"/>
    <row r="856" ht="14.25" customFormat="1" customHeight="1" s="263"/>
    <row r="857" ht="14.25" customFormat="1" customHeight="1" s="263"/>
    <row r="858" ht="14.25" customFormat="1" customHeight="1" s="263"/>
    <row r="859" ht="14.25" customFormat="1" customHeight="1" s="263"/>
    <row r="860" ht="14.25" customFormat="1" customHeight="1" s="263"/>
    <row r="861" ht="14.25" customFormat="1" customHeight="1" s="263"/>
    <row r="862" ht="14.25" customFormat="1" customHeight="1" s="263"/>
    <row r="863" ht="14.25" customFormat="1" customHeight="1" s="263"/>
    <row r="864" ht="14.25" customFormat="1" customHeight="1" s="263"/>
    <row r="865" ht="14.25" customFormat="1" customHeight="1" s="263"/>
    <row r="866" ht="14.25" customFormat="1" customHeight="1" s="263"/>
    <row r="867" ht="14.25" customFormat="1" customHeight="1" s="263"/>
    <row r="868" ht="14.25" customFormat="1" customHeight="1" s="263"/>
    <row r="869" ht="14.25" customFormat="1" customHeight="1" s="263"/>
    <row r="870" ht="14.25" customFormat="1" customHeight="1" s="263"/>
    <row r="871" ht="14.25" customFormat="1" customHeight="1" s="263"/>
    <row r="872" ht="14.25" customFormat="1" customHeight="1" s="263"/>
    <row r="873" ht="14.25" customFormat="1" customHeight="1" s="263"/>
    <row r="874" ht="14.25" customFormat="1" customHeight="1" s="263"/>
    <row r="875" ht="14.25" customFormat="1" customHeight="1" s="263"/>
    <row r="876" ht="14.25" customFormat="1" customHeight="1" s="263"/>
    <row r="877" ht="14.25" customFormat="1" customHeight="1" s="263"/>
    <row r="878" ht="14.25" customFormat="1" customHeight="1" s="263"/>
    <row r="879" ht="14.25" customFormat="1" customHeight="1" s="263"/>
    <row r="880" ht="14.25" customFormat="1" customHeight="1" s="263"/>
    <row r="881" ht="14.25" customFormat="1" customHeight="1" s="263"/>
    <row r="882" ht="14.25" customFormat="1" customHeight="1" s="263"/>
    <row r="883" ht="14.25" customFormat="1" customHeight="1" s="263"/>
    <row r="884" ht="14.25" customFormat="1" customHeight="1" s="263"/>
    <row r="885" ht="14.25" customFormat="1" customHeight="1" s="263"/>
    <row r="886" ht="14.25" customFormat="1" customHeight="1" s="263"/>
    <row r="887" ht="14.25" customFormat="1" customHeight="1" s="263"/>
    <row r="888" ht="14.25" customFormat="1" customHeight="1" s="263"/>
    <row r="889" ht="14.25" customFormat="1" customHeight="1" s="263"/>
    <row r="890" ht="14.25" customFormat="1" customHeight="1" s="263"/>
    <row r="891" ht="14.25" customFormat="1" customHeight="1" s="263"/>
    <row r="892" ht="14.25" customFormat="1" customHeight="1" s="263"/>
    <row r="893" ht="14.25" customFormat="1" customHeight="1" s="263"/>
    <row r="894" ht="14.25" customFormat="1" customHeight="1" s="263"/>
    <row r="895" ht="14.25" customFormat="1" customHeight="1" s="263"/>
    <row r="896" ht="14.25" customFormat="1" customHeight="1" s="263"/>
    <row r="897" ht="14.25" customFormat="1" customHeight="1" s="263"/>
    <row r="898" ht="14.25" customFormat="1" customHeight="1" s="263"/>
    <row r="899" ht="14.25" customFormat="1" customHeight="1" s="263"/>
    <row r="900" ht="14.25" customFormat="1" customHeight="1" s="263"/>
    <row r="901" ht="14.25" customFormat="1" customHeight="1" s="263"/>
    <row r="902" ht="14.25" customFormat="1" customHeight="1" s="263"/>
    <row r="903" ht="14.25" customFormat="1" customHeight="1" s="263"/>
    <row r="904" ht="14.25" customFormat="1" customHeight="1" s="263"/>
    <row r="905" ht="14.25" customFormat="1" customHeight="1" s="263"/>
    <row r="906" ht="14.25" customFormat="1" customHeight="1" s="263"/>
    <row r="907" ht="14.25" customFormat="1" customHeight="1" s="263"/>
    <row r="908" ht="14.25" customFormat="1" customHeight="1" s="263"/>
    <row r="909" ht="14.25" customFormat="1" customHeight="1" s="263"/>
    <row r="910" ht="14.25" customFormat="1" customHeight="1" s="263"/>
    <row r="911" ht="14.25" customFormat="1" customHeight="1" s="263"/>
    <row r="912" ht="14.25" customFormat="1" customHeight="1" s="263"/>
    <row r="913" ht="14.25" customFormat="1" customHeight="1" s="263"/>
    <row r="914" ht="14.25" customFormat="1" customHeight="1" s="263"/>
    <row r="915" ht="14.25" customFormat="1" customHeight="1" s="263"/>
    <row r="916" ht="14.25" customFormat="1" customHeight="1" s="263"/>
    <row r="917" ht="14.25" customFormat="1" customHeight="1" s="263"/>
    <row r="918" ht="14.25" customFormat="1" customHeight="1" s="263"/>
    <row r="919" ht="14.25" customFormat="1" customHeight="1" s="263"/>
    <row r="920" ht="14.25" customFormat="1" customHeight="1" s="263"/>
    <row r="921" ht="14.25" customFormat="1" customHeight="1" s="263"/>
    <row r="922" ht="14.25" customFormat="1" customHeight="1" s="263"/>
    <row r="923" ht="14.25" customFormat="1" customHeight="1" s="263"/>
    <row r="924" ht="14.25" customFormat="1" customHeight="1" s="263"/>
    <row r="925" ht="14.25" customFormat="1" customHeight="1" s="263"/>
    <row r="926" ht="14.25" customFormat="1" customHeight="1" s="263"/>
    <row r="927" ht="14.25" customFormat="1" customHeight="1" s="263"/>
    <row r="928" ht="14.25" customFormat="1" customHeight="1" s="263"/>
    <row r="929" ht="14.25" customFormat="1" customHeight="1" s="263"/>
    <row r="930" ht="14.25" customFormat="1" customHeight="1" s="263"/>
    <row r="931" ht="14.25" customFormat="1" customHeight="1" s="263"/>
    <row r="932" ht="14.25" customFormat="1" customHeight="1" s="263"/>
    <row r="933" ht="14.25" customFormat="1" customHeight="1" s="263"/>
    <row r="934" ht="14.25" customFormat="1" customHeight="1" s="263"/>
    <row r="935" ht="14.25" customFormat="1" customHeight="1" s="263"/>
    <row r="936" ht="14.25" customFormat="1" customHeight="1" s="263"/>
    <row r="937" ht="14.25" customFormat="1" customHeight="1" s="263"/>
    <row r="938" ht="14.25" customFormat="1" customHeight="1" s="263"/>
    <row r="939" ht="14.25" customFormat="1" customHeight="1" s="263"/>
    <row r="940" ht="14.25" customFormat="1" customHeight="1" s="263"/>
    <row r="941" ht="14.25" customFormat="1" customHeight="1" s="263"/>
    <row r="942" ht="14.25" customFormat="1" customHeight="1" s="263"/>
    <row r="943" ht="14.25" customFormat="1" customHeight="1" s="263"/>
    <row r="944" ht="14.25" customFormat="1" customHeight="1" s="263"/>
    <row r="945" ht="14.25" customFormat="1" customHeight="1" s="263"/>
    <row r="946" ht="14.25" customFormat="1" customHeight="1" s="263"/>
    <row r="947" ht="14.25" customFormat="1" customHeight="1" s="263"/>
    <row r="948" ht="14.25" customFormat="1" customHeight="1" s="263"/>
    <row r="949" ht="14.25" customFormat="1" customHeight="1" s="263"/>
    <row r="950" ht="14.25" customFormat="1" customHeight="1" s="263"/>
    <row r="951" ht="14.25" customFormat="1" customHeight="1" s="263"/>
    <row r="952" ht="14.25" customFormat="1" customHeight="1" s="263"/>
    <row r="953" ht="14.25" customFormat="1" customHeight="1" s="263"/>
    <row r="954" ht="14.25" customFormat="1" customHeight="1" s="263"/>
    <row r="955" ht="14.25" customFormat="1" customHeight="1" s="263"/>
    <row r="956" ht="14.25" customFormat="1" customHeight="1" s="263"/>
    <row r="957" ht="14.25" customFormat="1" customHeight="1" s="263"/>
    <row r="958" ht="14.25" customFormat="1" customHeight="1" s="263"/>
    <row r="959" ht="14.25" customFormat="1" customHeight="1" s="263"/>
    <row r="960" ht="14.25" customFormat="1" customHeight="1" s="263"/>
    <row r="961" ht="14.25" customFormat="1" customHeight="1" s="263"/>
    <row r="962" ht="14.25" customFormat="1" customHeight="1" s="263"/>
    <row r="963" ht="14.25" customFormat="1" customHeight="1" s="263"/>
    <row r="964" ht="14.25" customFormat="1" customHeight="1" s="263"/>
    <row r="965" ht="14.25" customFormat="1" customHeight="1" s="263"/>
    <row r="966" ht="14.25" customFormat="1" customHeight="1" s="263"/>
    <row r="967" ht="14.25" customFormat="1" customHeight="1" s="263"/>
    <row r="968" ht="14.25" customFormat="1" customHeight="1" s="263"/>
    <row r="969" ht="14.25" customFormat="1" customHeight="1" s="263"/>
    <row r="970" ht="14.25" customFormat="1" customHeight="1" s="263"/>
    <row r="971" ht="14.25" customFormat="1" customHeight="1" s="263"/>
    <row r="972" ht="14.25" customFormat="1" customHeight="1" s="263"/>
    <row r="973" ht="14.25" customFormat="1" customHeight="1" s="263"/>
    <row r="974" ht="14.25" customFormat="1" customHeight="1" s="263"/>
    <row r="975" ht="14.25" customFormat="1" customHeight="1" s="263"/>
    <row r="976" ht="14.25" customFormat="1" customHeight="1" s="263"/>
    <row r="977" ht="14.25" customFormat="1" customHeight="1" s="263"/>
    <row r="978" ht="14.25" customFormat="1" customHeight="1" s="263"/>
    <row r="979" ht="14.25" customFormat="1" customHeight="1" s="263"/>
  </sheetData>
  <mergeCells count="6">
    <mergeCell ref="A54:F54"/>
    <mergeCell ref="A1:G1"/>
    <mergeCell ref="A42:F42"/>
    <mergeCell ref="A3:G3"/>
    <mergeCell ref="A61:F61"/>
    <mergeCell ref="A43:F43"/>
  </mergeCells>
  <hyperlinks>
    <hyperlink xmlns:r="http://schemas.openxmlformats.org/officeDocument/2006/relationships" ref="G36" r:id="rId1"/>
    <hyperlink xmlns:r="http://schemas.openxmlformats.org/officeDocument/2006/relationships" ref="G60" r:id="rId2"/>
  </hyperlinks>
  <pageMargins left="0.7" right="0.7" top="0.75" bottom="0.75" header="0" footer="0"/>
  <pageSetup orientation="portrait" paperSize="9"/>
</worksheet>
</file>

<file path=xl/worksheets/sheet10.xml><?xml version="1.0" encoding="utf-8"?>
<worksheet xmlns="http://schemas.openxmlformats.org/spreadsheetml/2006/main">
  <sheetPr>
    <tabColor theme="7"/>
    <outlinePr summaryBelow="1" summaryRight="1"/>
    <pageSetUpPr/>
  </sheetPr>
  <dimension ref="A1:H22"/>
  <sheetViews>
    <sheetView zoomScale="115" zoomScaleNormal="115" workbookViewId="0">
      <selection activeCell="H17" sqref="H17"/>
    </sheetView>
  </sheetViews>
  <sheetFormatPr baseColWidth="10" defaultColWidth="8.83203125" defaultRowHeight="14"/>
  <cols>
    <col width="20.1640625" customWidth="1" style="143" min="1" max="1"/>
    <col width="11.5" customWidth="1" style="143" min="2" max="2"/>
    <col width="8.83203125" customWidth="1" style="143" min="3" max="3"/>
    <col width="11" customWidth="1" style="143" min="4" max="4"/>
    <col width="13.83203125" customWidth="1" style="143" min="5" max="5"/>
    <col width="11.5" customWidth="1" style="143" min="6" max="6"/>
    <col width="8.83203125" customWidth="1" style="143" min="7" max="7"/>
    <col width="13.6640625" customWidth="1" style="143" min="8" max="8"/>
    <col width="8.83203125" customWidth="1" style="143" min="9" max="16384"/>
  </cols>
  <sheetData>
    <row r="1">
      <c r="A1" s="327" t="inlineStr">
        <is>
          <t>Fill the table. Check for how long the person worked for the company until today (use DATEDIF function)</t>
        </is>
      </c>
      <c r="B1" s="328" t="n"/>
      <c r="C1" s="328" t="n"/>
      <c r="D1" s="328" t="n"/>
      <c r="E1" s="328" t="n"/>
      <c r="F1" s="328" t="n"/>
      <c r="G1" s="329" t="n"/>
    </row>
    <row r="2">
      <c r="A2" s="330" t="n"/>
      <c r="G2" s="331" t="n"/>
    </row>
    <row r="3" ht="15" customHeight="1" thickBot="1">
      <c r="A3" s="332" t="n"/>
      <c r="B3" s="333" t="n"/>
      <c r="C3" s="333" t="n"/>
      <c r="D3" s="333" t="n"/>
      <c r="E3" s="333" t="n"/>
      <c r="F3" s="333" t="n"/>
      <c r="G3" s="334" t="n"/>
    </row>
    <row r="5">
      <c r="H5" s="219" t="inlineStr">
        <is>
          <t>example: 4 years, 0 months, 25 days</t>
        </is>
      </c>
    </row>
    <row r="6">
      <c r="A6" s="206" t="inlineStr">
        <is>
          <t>Name</t>
        </is>
      </c>
      <c r="B6" s="206" t="inlineStr">
        <is>
          <t>Gender</t>
        </is>
      </c>
      <c r="C6" s="206" t="inlineStr">
        <is>
          <t>Department</t>
        </is>
      </c>
      <c r="D6" s="207" t="inlineStr">
        <is>
          <t>Date Joined</t>
        </is>
      </c>
      <c r="E6" s="206" t="inlineStr">
        <is>
          <t>Full years</t>
        </is>
      </c>
      <c r="F6" s="206" t="inlineStr">
        <is>
          <t>Full months</t>
        </is>
      </c>
      <c r="G6" s="206" t="inlineStr">
        <is>
          <t>Full days</t>
        </is>
      </c>
      <c r="H6" s="206" t="inlineStr">
        <is>
          <t>Total: y, m, d</t>
        </is>
      </c>
    </row>
    <row r="7">
      <c r="A7" s="208" t="inlineStr">
        <is>
          <t>Barr Faughny</t>
        </is>
      </c>
      <c r="B7" s="208" t="inlineStr">
        <is>
          <t>Female</t>
        </is>
      </c>
      <c r="C7" s="208" t="inlineStr">
        <is>
          <t>Procurement</t>
        </is>
      </c>
      <c r="D7" s="335" t="n">
        <v>43744</v>
      </c>
      <c r="E7" s="67">
        <f>DATEDIF(D7,TODAY(),"y")</f>
        <v/>
      </c>
      <c r="F7" s="67">
        <f>DATEDIF(D7,TODAY(),"ym")</f>
        <v/>
      </c>
      <c r="G7" s="67">
        <f>DATEDIF(D7,TODAY(),"md")</f>
        <v/>
      </c>
      <c r="H7" s="67">
        <f>E7&amp;" years, "&amp;F7&amp;" months, "&amp;G7&amp;" days"</f>
        <v/>
      </c>
    </row>
    <row r="8">
      <c r="A8" s="208" t="inlineStr">
        <is>
          <t>Dennison Crosswaite</t>
        </is>
      </c>
      <c r="B8" s="208" t="inlineStr">
        <is>
          <t>Male</t>
        </is>
      </c>
      <c r="C8" s="208" t="inlineStr">
        <is>
          <t>Website</t>
        </is>
      </c>
      <c r="D8" s="335" t="n">
        <v>43601</v>
      </c>
      <c r="E8" s="67">
        <f>DATEDIF(D8,TODAY(),"y")</f>
        <v/>
      </c>
      <c r="F8" s="67">
        <f>DATEDIF(D8,TODAY(),"ym")</f>
        <v/>
      </c>
      <c r="G8" s="67">
        <f>DATEDIF(D8,TODAY(),"md")</f>
        <v/>
      </c>
      <c r="H8" s="67">
        <f>E8&amp;" years, "&amp;F8&amp;" months, "&amp;G8&amp;" days"</f>
        <v/>
      </c>
    </row>
    <row r="9">
      <c r="A9" s="208" t="inlineStr">
        <is>
          <t>Gunar Cockshoot</t>
        </is>
      </c>
      <c r="B9" s="208" t="inlineStr">
        <is>
          <t>Male</t>
        </is>
      </c>
      <c r="C9" s="208" t="inlineStr">
        <is>
          <t>Website</t>
        </is>
      </c>
      <c r="D9" s="335" t="n">
        <v>43476</v>
      </c>
      <c r="E9" s="67">
        <f>DATEDIF(D9,TODAY(),"y")</f>
        <v/>
      </c>
      <c r="F9" s="67">
        <f>DATEDIF(D9,TODAY(),"ym")</f>
        <v/>
      </c>
      <c r="G9" s="67">
        <f>DATEDIF(D9,TODAY(),"md")</f>
        <v/>
      </c>
      <c r="H9" s="67">
        <f>E9&amp;" years, "&amp;F9&amp;" months, "&amp;G9&amp;" days"</f>
        <v/>
      </c>
    </row>
    <row r="10">
      <c r="A10" s="208" t="inlineStr">
        <is>
          <t>Gigi Bohling</t>
        </is>
      </c>
      <c r="B10" s="208" t="inlineStr">
        <is>
          <t>Male</t>
        </is>
      </c>
      <c r="C10" s="208" t="inlineStr">
        <is>
          <t>Sales</t>
        </is>
      </c>
      <c r="D10" s="335" t="n">
        <v>43351</v>
      </c>
      <c r="E10" s="67">
        <f>DATEDIF(D10,TODAY(),"y")</f>
        <v/>
      </c>
      <c r="F10" s="67">
        <f>DATEDIF(D10,TODAY(),"ym")</f>
        <v/>
      </c>
      <c r="G10" s="67">
        <f>DATEDIF(D10,TODAY(),"md")</f>
        <v/>
      </c>
      <c r="H10" s="67">
        <f>E10&amp;" years, "&amp;F10&amp;" months, "&amp;G10&amp;" days"</f>
        <v/>
      </c>
    </row>
    <row r="11">
      <c r="A11" s="208" t="inlineStr">
        <is>
          <t>Curtice Advani</t>
        </is>
      </c>
      <c r="B11" s="208" t="inlineStr">
        <is>
          <t>Male</t>
        </is>
      </c>
      <c r="C11" s="208" t="inlineStr">
        <is>
          <t>Finance</t>
        </is>
      </c>
      <c r="D11" s="335" t="n">
        <v>43560</v>
      </c>
      <c r="E11" s="67">
        <f>DATEDIF(D11,TODAY(),"y")</f>
        <v/>
      </c>
      <c r="F11" s="67">
        <f>DATEDIF(D11,TODAY(),"ym")</f>
        <v/>
      </c>
      <c r="G11" s="67">
        <f>DATEDIF(D11,TODAY(),"md")</f>
        <v/>
      </c>
      <c r="H11" s="67">
        <f>E11&amp;" years, "&amp;F11&amp;" months, "&amp;G11&amp;" days"</f>
        <v/>
      </c>
    </row>
    <row r="12">
      <c r="A12" s="208" t="inlineStr">
        <is>
          <t>Kaine Padly</t>
        </is>
      </c>
      <c r="B12" s="208" t="inlineStr">
        <is>
          <t>Male</t>
        </is>
      </c>
      <c r="C12" s="208" t="inlineStr">
        <is>
          <t>Website</t>
        </is>
      </c>
      <c r="D12" s="335" t="n">
        <v>43424</v>
      </c>
      <c r="E12" s="67">
        <f>DATEDIF(D12,TODAY(),"y")</f>
        <v/>
      </c>
      <c r="F12" s="67">
        <f>DATEDIF(D12,TODAY(),"ym")</f>
        <v/>
      </c>
      <c r="G12" s="67">
        <f>DATEDIF(D12,TODAY(),"md")</f>
        <v/>
      </c>
      <c r="H12" s="67">
        <f>E12&amp;" years, "&amp;F12&amp;" months, "&amp;G12&amp;" days"</f>
        <v/>
      </c>
    </row>
    <row r="13">
      <c r="A13" s="208" t="inlineStr">
        <is>
          <t>Ches Bonnell</t>
        </is>
      </c>
      <c r="B13" s="208" t="inlineStr">
        <is>
          <t>Male</t>
        </is>
      </c>
      <c r="C13" s="208" t="inlineStr">
        <is>
          <t>Website</t>
        </is>
      </c>
      <c r="D13" s="335" t="n">
        <v>43303</v>
      </c>
      <c r="E13" s="67">
        <f>DATEDIF(D13,TODAY(),"y")</f>
        <v/>
      </c>
      <c r="F13" s="67">
        <f>DATEDIF(D13,TODAY(),"ym")</f>
        <v/>
      </c>
      <c r="G13" s="67">
        <f>DATEDIF(D13,TODAY(),"md")</f>
        <v/>
      </c>
      <c r="H13" s="67">
        <f>E13&amp;" years, "&amp;F13&amp;" months, "&amp;G13&amp;" days"</f>
        <v/>
      </c>
    </row>
    <row r="14">
      <c r="A14" s="208" t="inlineStr">
        <is>
          <t>Andria Kimpton</t>
        </is>
      </c>
      <c r="B14" s="208" t="inlineStr">
        <is>
          <t>Male</t>
        </is>
      </c>
      <c r="C14" s="208" t="inlineStr">
        <is>
          <t>Website</t>
        </is>
      </c>
      <c r="D14" s="335" t="n">
        <v>43238</v>
      </c>
      <c r="E14" s="67">
        <f>DATEDIF(D14,TODAY(),"y")</f>
        <v/>
      </c>
      <c r="F14" s="67">
        <f>DATEDIF(D14,TODAY(),"ym")</f>
        <v/>
      </c>
      <c r="G14" s="67">
        <f>DATEDIF(D14,TODAY(),"md")</f>
        <v/>
      </c>
      <c r="H14" s="67">
        <f>E14&amp;" years, "&amp;F14&amp;" months, "&amp;G14&amp;" days"</f>
        <v/>
      </c>
    </row>
    <row r="15">
      <c r="A15" s="208" t="inlineStr">
        <is>
          <t>Brien Boise</t>
        </is>
      </c>
      <c r="B15" s="208" t="inlineStr">
        <is>
          <t>Female</t>
        </is>
      </c>
      <c r="C15" s="208" t="inlineStr">
        <is>
          <t>Website</t>
        </is>
      </c>
      <c r="D15" s="335" t="n">
        <v>43628</v>
      </c>
      <c r="E15" s="67">
        <f>DATEDIF(D15,TODAY(),"y")</f>
        <v/>
      </c>
      <c r="F15" s="67">
        <f>DATEDIF(D15,TODAY(),"ym")</f>
        <v/>
      </c>
      <c r="G15" s="67">
        <f>DATEDIF(D15,TODAY(),"md")</f>
        <v/>
      </c>
      <c r="H15" s="67">
        <f>E15&amp;" years, "&amp;F15&amp;" months, "&amp;G15&amp;" days"</f>
        <v/>
      </c>
    </row>
    <row r="16">
      <c r="A16" s="208" t="inlineStr">
        <is>
          <t>Husein Augar</t>
        </is>
      </c>
      <c r="B16" s="208" t="inlineStr">
        <is>
          <t>Female</t>
        </is>
      </c>
      <c r="C16" s="208" t="inlineStr">
        <is>
          <t>Finance</t>
        </is>
      </c>
      <c r="D16" s="335" t="n">
        <v>43355</v>
      </c>
      <c r="E16" s="67">
        <f>DATEDIF(D16,TODAY(),"y")</f>
        <v/>
      </c>
      <c r="F16" s="67">
        <f>DATEDIF(D16,TODAY(),"ym")</f>
        <v/>
      </c>
      <c r="G16" s="67">
        <f>DATEDIF(D16,TODAY(),"md")</f>
        <v/>
      </c>
      <c r="H16" s="67">
        <f>E16&amp;" years, "&amp;F16&amp;" months, "&amp;G16&amp;" days"</f>
        <v/>
      </c>
    </row>
    <row r="17">
      <c r="A17" s="208" t="inlineStr">
        <is>
          <t>Jan Morforth</t>
        </is>
      </c>
      <c r="B17" s="208" t="inlineStr">
        <is>
          <t>Male</t>
        </is>
      </c>
      <c r="C17" s="208" t="inlineStr">
        <is>
          <t>Finance</t>
        </is>
      </c>
      <c r="D17" s="335" t="n">
        <v>43007</v>
      </c>
      <c r="E17" s="67">
        <f>DATEDIF(D17,TODAY(),"y")</f>
        <v/>
      </c>
      <c r="F17" s="67">
        <f>DATEDIF(D17,TODAY(),"ym")</f>
        <v/>
      </c>
      <c r="G17" s="67">
        <f>DATEDIF(D17,TODAY(),"md")</f>
        <v/>
      </c>
      <c r="H17" s="67">
        <f>E17&amp;" years, "&amp;F17&amp;" months, "&amp;G17&amp;" days"</f>
        <v/>
      </c>
    </row>
    <row r="18">
      <c r="A18" s="208" t="inlineStr">
        <is>
          <t>Dotty Strutley</t>
        </is>
      </c>
      <c r="B18" s="208" t="inlineStr">
        <is>
          <t>Female</t>
        </is>
      </c>
      <c r="C18" s="208" t="inlineStr">
        <is>
          <t>Website</t>
        </is>
      </c>
      <c r="D18" s="335" t="n">
        <v>43110</v>
      </c>
      <c r="E18" s="67">
        <f>DATEDIF(D18,TODAY(),"y")</f>
        <v/>
      </c>
      <c r="F18" s="67">
        <f>DATEDIF(D18,TODAY(),"ym")</f>
        <v/>
      </c>
      <c r="G18" s="67">
        <f>DATEDIF(D18,TODAY(),"md")</f>
        <v/>
      </c>
      <c r="H18" s="67">
        <f>E18&amp;" years, "&amp;F18&amp;" months, "&amp;G18&amp;" days"</f>
        <v/>
      </c>
    </row>
    <row r="19">
      <c r="A19" s="208" t="inlineStr">
        <is>
          <t>Marney O'Breen</t>
        </is>
      </c>
      <c r="B19" s="208" t="inlineStr">
        <is>
          <t>Female</t>
        </is>
      </c>
      <c r="C19" s="208" t="inlineStr">
        <is>
          <t>Finance</t>
        </is>
      </c>
      <c r="D19" s="335" t="n">
        <v>43282</v>
      </c>
      <c r="E19" s="67">
        <f>DATEDIF(D19,TODAY(),"y")</f>
        <v/>
      </c>
      <c r="F19" s="67">
        <f>DATEDIF(D19,TODAY(),"ym")</f>
        <v/>
      </c>
      <c r="G19" s="67">
        <f>DATEDIF(D19,TODAY(),"md")</f>
        <v/>
      </c>
      <c r="H19" s="67">
        <f>E19&amp;" years, "&amp;F19&amp;" months, "&amp;G19&amp;" days"</f>
        <v/>
      </c>
    </row>
    <row r="20">
      <c r="A20" s="208" t="inlineStr">
        <is>
          <t>Rafaelita Blaksland</t>
        </is>
      </c>
      <c r="B20" s="208" t="inlineStr">
        <is>
          <t>Female</t>
        </is>
      </c>
      <c r="C20" s="208" t="inlineStr">
        <is>
          <t>Sales</t>
        </is>
      </c>
      <c r="D20" s="335" t="n">
        <v>43342</v>
      </c>
      <c r="E20" s="67">
        <f>DATEDIF(D20,TODAY(),"y")</f>
        <v/>
      </c>
      <c r="F20" s="67">
        <f>DATEDIF(D20,TODAY(),"ym")</f>
        <v/>
      </c>
      <c r="G20" s="67">
        <f>DATEDIF(D20,TODAY(),"md")</f>
        <v/>
      </c>
      <c r="H20" s="67">
        <f>E20&amp;" years, "&amp;F20&amp;" months, "&amp;G20&amp;" days"</f>
        <v/>
      </c>
    </row>
    <row r="21">
      <c r="A21" s="208" t="inlineStr">
        <is>
          <t>Beverie Moffet</t>
        </is>
      </c>
      <c r="B21" s="208" t="inlineStr">
        <is>
          <t>Female</t>
        </is>
      </c>
      <c r="C21" s="208" t="inlineStr">
        <is>
          <t>Finance</t>
        </is>
      </c>
      <c r="D21" s="335" t="n">
        <v>43151</v>
      </c>
      <c r="E21" s="67">
        <f>DATEDIF(D21,TODAY(),"y")</f>
        <v/>
      </c>
      <c r="F21" s="67">
        <f>DATEDIF(D21,TODAY(),"ym")</f>
        <v/>
      </c>
      <c r="G21" s="67">
        <f>DATEDIF(D21,TODAY(),"md")</f>
        <v/>
      </c>
      <c r="H21" s="67">
        <f>E21&amp;" years, "&amp;F21&amp;" months, "&amp;G21&amp;" days"</f>
        <v/>
      </c>
    </row>
    <row r="22">
      <c r="A22" s="208" t="inlineStr">
        <is>
          <t>Oby Sorrel</t>
        </is>
      </c>
      <c r="B22" s="208" t="inlineStr">
        <is>
          <t>Female</t>
        </is>
      </c>
      <c r="C22" s="208" t="inlineStr">
        <is>
          <t>Finance</t>
        </is>
      </c>
      <c r="D22" s="335" t="n">
        <v>43618</v>
      </c>
      <c r="E22" s="67">
        <f>DATEDIF(D22,TODAY(),"y")</f>
        <v/>
      </c>
      <c r="F22" s="67">
        <f>DATEDIF(D22,TODAY(),"ym")</f>
        <v/>
      </c>
      <c r="G22" s="67">
        <f>DATEDIF(D22,TODAY(),"md")</f>
        <v/>
      </c>
      <c r="H22" s="67">
        <f>E22&amp;" years, "&amp;F22&amp;" months, "&amp;G22&amp;" days"</f>
        <v/>
      </c>
    </row>
  </sheetData>
  <mergeCells count="1">
    <mergeCell ref="A1:G3"/>
  </mergeCells>
  <pageMargins left="0.7" right="0.7" top="0.75" bottom="0.75" header="0.3" footer="0.3"/>
</worksheet>
</file>

<file path=xl/worksheets/sheet11.xml><?xml version="1.0" encoding="utf-8"?>
<worksheet xmlns="http://schemas.openxmlformats.org/spreadsheetml/2006/main">
  <sheetPr>
    <tabColor rgb="FFFFC000"/>
    <outlinePr summaryBelow="1" summaryRight="1"/>
    <pageSetUpPr/>
  </sheetPr>
  <dimension ref="A1:J19"/>
  <sheetViews>
    <sheetView zoomScale="115" zoomScaleNormal="85" workbookViewId="0">
      <selection activeCell="J7" sqref="J7"/>
    </sheetView>
  </sheetViews>
  <sheetFormatPr baseColWidth="10" defaultColWidth="8.83203125" defaultRowHeight="14"/>
  <cols>
    <col width="26.6640625" customWidth="1" style="143" min="1" max="1"/>
    <col width="12.83203125" customWidth="1" style="143" min="2" max="2"/>
    <col width="17.6640625" bestFit="1" customWidth="1" style="143" min="3" max="3"/>
    <col width="9.83203125" bestFit="1" customWidth="1" style="143" min="4" max="4"/>
    <col width="22" customWidth="1" style="143" min="5" max="5"/>
    <col width="20" customWidth="1" style="143" min="6" max="6"/>
    <col width="25.1640625" customWidth="1" style="143" min="7" max="7"/>
    <col width="11.1640625" bestFit="1" customWidth="1" style="143" min="8" max="8"/>
    <col width="10.1640625" bestFit="1" customWidth="1" style="143" min="9" max="9"/>
    <col width="8.83203125" customWidth="1" style="143" min="10" max="16384"/>
  </cols>
  <sheetData>
    <row r="1">
      <c r="A1" s="336" t="inlineStr">
        <is>
          <t>Fill the project management timetable</t>
        </is>
      </c>
      <c r="B1" s="328" t="n"/>
      <c r="C1" s="328" t="n"/>
      <c r="D1" s="328" t="n"/>
      <c r="E1" s="328" t="n"/>
      <c r="F1" s="328" t="n"/>
      <c r="G1" s="329" t="n"/>
    </row>
    <row r="2" ht="15" customHeight="1" thickBot="1">
      <c r="A2" s="332" t="n"/>
      <c r="B2" s="333" t="n"/>
      <c r="C2" s="333" t="n"/>
      <c r="D2" s="333" t="n"/>
      <c r="E2" s="333" t="n"/>
      <c r="F2" s="333" t="n"/>
      <c r="G2" s="334" t="n"/>
    </row>
    <row r="4">
      <c r="E4" s="143" t="inlineStr">
        <is>
          <t>Now the Client rescheduled deadlines</t>
        </is>
      </c>
    </row>
    <row r="5">
      <c r="A5" s="144" t="inlineStr">
        <is>
          <t>Task</t>
        </is>
      </c>
      <c r="B5" s="144" t="inlineStr">
        <is>
          <t>Start date</t>
        </is>
      </c>
      <c r="C5" s="144" t="inlineStr">
        <is>
          <t># of working days</t>
        </is>
      </c>
      <c r="D5" s="145" t="inlineStr">
        <is>
          <t>End date</t>
        </is>
      </c>
      <c r="E5" s="146" t="inlineStr">
        <is>
          <t>New end date</t>
        </is>
      </c>
      <c r="F5" s="145" t="inlineStr">
        <is>
          <t>New # of working days</t>
        </is>
      </c>
      <c r="H5" s="143" t="inlineStr">
        <is>
          <t>List of holidays</t>
        </is>
      </c>
    </row>
    <row r="6">
      <c r="A6" s="143" t="inlineStr">
        <is>
          <t>Design completed</t>
        </is>
      </c>
      <c r="B6" s="147" t="n">
        <v>44941</v>
      </c>
      <c r="C6" s="143" t="n">
        <v>8</v>
      </c>
      <c r="D6" s="337">
        <f>WORKDAY(B6,C6,$H$6:$H$19)</f>
        <v/>
      </c>
      <c r="E6" s="149" t="n">
        <v>44949</v>
      </c>
      <c r="F6" s="148">
        <f>NETWORKDAYS(B6,E6,$H$6:$H$19)</f>
        <v/>
      </c>
      <c r="H6" s="147" t="n"/>
      <c r="I6" s="147" t="n"/>
    </row>
    <row r="7" ht="15" customHeight="1">
      <c r="A7" s="143" t="inlineStr">
        <is>
          <t>Admin training</t>
        </is>
      </c>
      <c r="B7" s="147" t="n">
        <v>44952</v>
      </c>
      <c r="C7" s="143" t="n">
        <v>13</v>
      </c>
      <c r="D7" s="337">
        <f>WORKDAY(B7,C7,$H$6:$H$19)</f>
        <v/>
      </c>
      <c r="E7" s="149" t="n">
        <v>44953</v>
      </c>
      <c r="F7" s="148">
        <f>NETWORKDAYS(B7,E7,$H$6:$H$19)</f>
        <v/>
      </c>
      <c r="H7" s="147" t="n"/>
      <c r="I7" s="147" t="n"/>
    </row>
    <row r="8">
      <c r="A8" s="143" t="inlineStr">
        <is>
          <t>Address IT issues</t>
        </is>
      </c>
      <c r="B8" s="147" t="n">
        <v>44971</v>
      </c>
      <c r="C8" s="143" t="n">
        <v>12</v>
      </c>
      <c r="D8" s="337">
        <f>WORKDAY(B8,C8,$H$6:$H$19)</f>
        <v/>
      </c>
      <c r="E8" s="149" t="n">
        <v>44975</v>
      </c>
      <c r="F8" s="148">
        <f>NETWORKDAYS(B8,E8,$H$6:$H$19)</f>
        <v/>
      </c>
      <c r="H8" s="147" t="n"/>
      <c r="I8" s="147" t="n"/>
    </row>
    <row r="9">
      <c r="A9" s="143" t="inlineStr">
        <is>
          <t>Initial build completed</t>
        </is>
      </c>
      <c r="B9" s="147" t="n">
        <v>44987</v>
      </c>
      <c r="C9" s="143" t="n">
        <v>13</v>
      </c>
      <c r="D9" s="337">
        <f>WORKDAY(B9,C9,$H$6:$H$19)</f>
        <v/>
      </c>
      <c r="E9" s="149" t="n">
        <v>44990</v>
      </c>
      <c r="F9" s="148">
        <f>NETWORKDAYS(B9,E9,$H$6:$H$19)</f>
        <v/>
      </c>
      <c r="H9" s="147" t="n"/>
      <c r="I9" s="147" t="n"/>
    </row>
    <row r="10">
      <c r="A10" s="143" t="inlineStr">
        <is>
          <t>Data migration</t>
        </is>
      </c>
      <c r="B10" s="147" t="n">
        <v>45006</v>
      </c>
      <c r="C10" s="143" t="n">
        <v>7</v>
      </c>
      <c r="D10" s="337">
        <f>WORKDAY(B10,C10,$H$6:$H$19)</f>
        <v/>
      </c>
      <c r="E10" s="149" t="n">
        <v>45008</v>
      </c>
      <c r="F10" s="148">
        <f>NETWORKDAYS(B10,E10,$H$6:$H$19)</f>
        <v/>
      </c>
      <c r="H10" s="147" t="n"/>
      <c r="I10" s="147" t="n"/>
    </row>
    <row r="11">
      <c r="A11" s="143" t="inlineStr">
        <is>
          <t>User training</t>
        </is>
      </c>
      <c r="B11" s="147" t="n">
        <v>45015</v>
      </c>
      <c r="C11" s="143" t="n">
        <v>13</v>
      </c>
      <c r="D11" s="337">
        <f>WORKDAY(B11,C11,$H$6:$H$19)</f>
        <v/>
      </c>
      <c r="E11" s="149" t="n">
        <v>45021</v>
      </c>
      <c r="F11" s="148">
        <f>NETWORKDAYS(B11,E11,$H$6:$H$19)</f>
        <v/>
      </c>
      <c r="H11" s="147" t="n"/>
      <c r="I11" s="147" t="n"/>
    </row>
    <row r="12">
      <c r="A12" s="143" t="inlineStr">
        <is>
          <t>Testing</t>
        </is>
      </c>
      <c r="B12" s="147" t="n">
        <v>45034</v>
      </c>
      <c r="C12" s="143" t="n">
        <v>10</v>
      </c>
      <c r="D12" s="337">
        <f>WORKDAY(B12,C12,$H$6:$H$19)</f>
        <v/>
      </c>
      <c r="E12" s="149" t="n">
        <v>45036</v>
      </c>
      <c r="F12" s="148">
        <f>NETWORKDAYS(B12,E12,$H$6:$H$19)</f>
        <v/>
      </c>
      <c r="H12" s="147" t="n"/>
      <c r="I12" s="147" t="n"/>
    </row>
    <row r="13">
      <c r="A13" s="143" t="inlineStr">
        <is>
          <t>Parallel run</t>
        </is>
      </c>
      <c r="B13" s="147" t="n">
        <v>45049</v>
      </c>
      <c r="C13" s="143" t="n">
        <v>8</v>
      </c>
      <c r="D13" s="337">
        <f>WORKDAY(B13,C13,$H$6:$H$19)</f>
        <v/>
      </c>
      <c r="E13" s="149" t="n">
        <v>45053</v>
      </c>
      <c r="F13" s="148">
        <f>NETWORKDAYS(B13,E13,$H$6:$H$19)</f>
        <v/>
      </c>
      <c r="H13" s="147" t="n"/>
      <c r="I13" s="147" t="n"/>
    </row>
    <row r="14">
      <c r="A14" s="143" t="inlineStr">
        <is>
          <t>Sign-off</t>
        </is>
      </c>
      <c r="B14" s="147" t="n">
        <v>45062</v>
      </c>
      <c r="C14" s="143" t="n">
        <v>15</v>
      </c>
      <c r="D14" s="337">
        <f>WORKDAY(B14,C14,$H$6:$H$19)</f>
        <v/>
      </c>
      <c r="E14" s="149" t="n">
        <v>45069</v>
      </c>
      <c r="F14" s="148">
        <f>NETWORKDAYS(B14,E14,$H$6:$H$19)</f>
        <v/>
      </c>
      <c r="H14" s="147" t="n"/>
      <c r="I14" s="147" t="n"/>
    </row>
    <row r="15">
      <c r="H15" s="147" t="n"/>
      <c r="I15" s="147" t="n"/>
    </row>
    <row r="16">
      <c r="H16" s="147" t="n"/>
      <c r="I16" s="147" t="n"/>
    </row>
    <row r="17">
      <c r="H17" s="147" t="n"/>
      <c r="I17" s="147" t="n"/>
    </row>
    <row r="18">
      <c r="H18" s="147" t="n"/>
      <c r="I18" s="147" t="n"/>
    </row>
    <row r="19">
      <c r="H19" s="147" t="n"/>
    </row>
  </sheetData>
  <mergeCells count="1">
    <mergeCell ref="A1:G2"/>
  </mergeCells>
  <pageMargins left="0.7" right="0.7" top="0.75" bottom="0.75" header="0.3" footer="0.3"/>
  <drawing xmlns:r="http://schemas.openxmlformats.org/officeDocument/2006/relationships" r:id="rId1"/>
</worksheet>
</file>

<file path=xl/worksheets/sheet12.xml><?xml version="1.0" encoding="utf-8"?>
<worksheet xmlns="http://schemas.openxmlformats.org/spreadsheetml/2006/main">
  <sheetPr>
    <tabColor theme="7"/>
    <outlinePr summaryBelow="1" summaryRight="1"/>
    <pageSetUpPr/>
  </sheetPr>
  <dimension ref="A1:Q13"/>
  <sheetViews>
    <sheetView workbookViewId="0">
      <selection activeCell="G7" sqref="G7"/>
    </sheetView>
  </sheetViews>
  <sheetFormatPr baseColWidth="10" defaultColWidth="14" defaultRowHeight="15" customHeight="1"/>
  <cols>
    <col width="5" bestFit="1" customWidth="1" style="263" min="1" max="1"/>
    <col width="8.1640625" bestFit="1" customWidth="1" style="263" min="2" max="2"/>
    <col width="6" bestFit="1" customWidth="1" style="263" min="3" max="3"/>
    <col width="6.1640625" bestFit="1" customWidth="1" style="263" min="4" max="4"/>
    <col width="10.83203125" bestFit="1" customWidth="1" style="263" min="5" max="5"/>
    <col width="25.5" customWidth="1" style="263" min="6" max="6"/>
    <col width="19.1640625" bestFit="1" customWidth="1" style="263" min="7" max="7"/>
    <col width="14" bestFit="1" customWidth="1" style="263" min="8" max="8"/>
    <col width="8.5" customWidth="1" style="263" min="9" max="9"/>
    <col width="2.1640625" bestFit="1" customWidth="1" style="263" min="10" max="10"/>
    <col width="5" bestFit="1" customWidth="1" style="263" min="11" max="11"/>
    <col width="8.5" customWidth="1" style="263" min="12" max="26"/>
    <col width="14" customWidth="1" style="263" min="27" max="16384"/>
  </cols>
  <sheetData>
    <row r="1">
      <c r="A1" s="203" t="inlineStr">
        <is>
          <t>DAY</t>
        </is>
      </c>
      <c r="B1" s="203" t="inlineStr">
        <is>
          <t>MONTH</t>
        </is>
      </c>
      <c r="C1" s="203" t="inlineStr">
        <is>
          <t>YEAR</t>
        </is>
      </c>
      <c r="D1" s="203" t="inlineStr">
        <is>
          <t>DATE</t>
        </is>
      </c>
      <c r="E1" s="203" t="inlineStr">
        <is>
          <t>EOMONTH</t>
        </is>
      </c>
      <c r="F1" s="204" t="inlineStr">
        <is>
          <t>DAY FUNCTION (for E:E)</t>
        </is>
      </c>
      <c r="G1" s="203" t="inlineStr">
        <is>
          <t>WEEKDAY (for D:D)</t>
        </is>
      </c>
      <c r="H1" s="204" t="inlineStr">
        <is>
          <t>NAME OF DAY</t>
        </is>
      </c>
      <c r="J1" s="94" t="n">
        <v>1</v>
      </c>
      <c r="K1" s="94" t="inlineStr">
        <is>
          <t>Mon</t>
        </is>
      </c>
      <c r="N1" s="338" t="inlineStr">
        <is>
          <t>Fill in the table</t>
        </is>
      </c>
      <c r="O1" s="306" t="n"/>
      <c r="P1" s="306" t="n"/>
      <c r="Q1" s="307" t="n"/>
    </row>
    <row r="2" ht="14.25" customHeight="1">
      <c r="A2" s="80" t="n">
        <v>1</v>
      </c>
      <c r="B2" s="80" t="n">
        <v>1</v>
      </c>
      <c r="C2" s="80" t="n">
        <v>2022</v>
      </c>
      <c r="D2" s="339">
        <f>DATE(C2,B2,A2)</f>
        <v/>
      </c>
      <c r="E2" s="339">
        <f>EOMONTH(D2,0)</f>
        <v/>
      </c>
      <c r="F2" s="67">
        <f>DAY(E2)</f>
        <v/>
      </c>
      <c r="G2" s="67">
        <f>WEEKDAY(D2,2)</f>
        <v/>
      </c>
      <c r="H2" s="67">
        <f>VLOOKUP(G2,$J$1:$K$7,2,FALSE)</f>
        <v/>
      </c>
      <c r="J2" s="94" t="n">
        <v>2</v>
      </c>
      <c r="K2" s="94" t="inlineStr">
        <is>
          <t>Tue</t>
        </is>
      </c>
      <c r="N2" s="143" t="n"/>
      <c r="O2" s="143" t="n"/>
      <c r="P2" s="143" t="n"/>
      <c r="Q2" s="143" t="n"/>
    </row>
    <row r="3" ht="14.25" customHeight="1">
      <c r="A3" s="80" t="n">
        <v>1</v>
      </c>
      <c r="B3" s="80" t="n">
        <v>2</v>
      </c>
      <c r="C3" s="80" t="n">
        <v>2022</v>
      </c>
      <c r="D3" s="339">
        <f>DATE(C3,B3,A3)</f>
        <v/>
      </c>
      <c r="E3" s="339">
        <f>EOMONTH(D3,0)</f>
        <v/>
      </c>
      <c r="F3" s="67">
        <f>DAY(E3)</f>
        <v/>
      </c>
      <c r="G3" s="67">
        <f>WEEKDAY(D3,2)</f>
        <v/>
      </c>
      <c r="H3" s="67">
        <f>VLOOKUP(G3,$J$1:$K$7,2,FALSE)</f>
        <v/>
      </c>
      <c r="J3" s="94" t="n">
        <v>3</v>
      </c>
      <c r="K3" s="94" t="inlineStr">
        <is>
          <t>Wed</t>
        </is>
      </c>
      <c r="N3" s="143" t="n"/>
      <c r="O3" s="143" t="n"/>
      <c r="P3" s="143" t="n"/>
      <c r="Q3" s="143" t="n"/>
    </row>
    <row r="4" ht="14.25" customHeight="1">
      <c r="A4" s="80" t="n">
        <v>1</v>
      </c>
      <c r="B4" s="80" t="n">
        <v>3</v>
      </c>
      <c r="C4" s="80" t="n">
        <v>2022</v>
      </c>
      <c r="D4" s="339">
        <f>DATE(C4,B4,A4)</f>
        <v/>
      </c>
      <c r="E4" s="339">
        <f>EOMONTH(D4,0)</f>
        <v/>
      </c>
      <c r="F4" s="67">
        <f>DAY(E4)</f>
        <v/>
      </c>
      <c r="G4" s="67">
        <f>WEEKDAY(D4,2)</f>
        <v/>
      </c>
      <c r="H4" s="67">
        <f>VLOOKUP(G4,$J$1:$K$7,2,FALSE)</f>
        <v/>
      </c>
      <c r="J4" s="94" t="n">
        <v>4</v>
      </c>
      <c r="K4" s="94" t="inlineStr">
        <is>
          <t>Thu</t>
        </is>
      </c>
      <c r="N4" s="143" t="n"/>
      <c r="O4" s="143" t="n"/>
      <c r="P4" s="143" t="n"/>
      <c r="Q4" s="143" t="n"/>
    </row>
    <row r="5" ht="14.25" customHeight="1">
      <c r="A5" s="80" t="n">
        <v>1</v>
      </c>
      <c r="B5" s="80" t="n">
        <v>4</v>
      </c>
      <c r="C5" s="80" t="n">
        <v>2022</v>
      </c>
      <c r="D5" s="339">
        <f>DATE(C5,B5,A5)</f>
        <v/>
      </c>
      <c r="E5" s="339">
        <f>EOMONTH(D5,0)</f>
        <v/>
      </c>
      <c r="F5" s="67">
        <f>DAY(E5)</f>
        <v/>
      </c>
      <c r="G5" s="67">
        <f>WEEKDAY(D5,2)</f>
        <v/>
      </c>
      <c r="H5" s="67">
        <f>VLOOKUP(G5,$J$1:$K$7,2,FALSE)</f>
        <v/>
      </c>
      <c r="J5" s="94" t="n">
        <v>5</v>
      </c>
      <c r="K5" s="94" t="inlineStr">
        <is>
          <t>Fri</t>
        </is>
      </c>
      <c r="N5" s="143" t="n"/>
      <c r="O5" s="143" t="n"/>
      <c r="P5" s="143" t="n"/>
      <c r="Q5" s="143" t="n"/>
    </row>
    <row r="6" ht="14.25" customHeight="1">
      <c r="A6" s="80" t="n">
        <v>1</v>
      </c>
      <c r="B6" s="80" t="n">
        <v>5</v>
      </c>
      <c r="C6" s="80" t="n">
        <v>2022</v>
      </c>
      <c r="D6" s="339">
        <f>DATE(C6,B6,A6)</f>
        <v/>
      </c>
      <c r="E6" s="339">
        <f>EOMONTH(D6,0)</f>
        <v/>
      </c>
      <c r="F6" s="67">
        <f>DAY(E6)</f>
        <v/>
      </c>
      <c r="G6" s="67">
        <f>WEEKDAY(D6,2)</f>
        <v/>
      </c>
      <c r="H6" s="67">
        <f>VLOOKUP(G6,$J$1:$K$7,2,FALSE)</f>
        <v/>
      </c>
      <c r="J6" s="94" t="n">
        <v>6</v>
      </c>
      <c r="K6" s="94" t="inlineStr">
        <is>
          <t>Sat</t>
        </is>
      </c>
      <c r="N6" s="143" t="n"/>
      <c r="O6" s="143" t="n"/>
      <c r="P6" s="143" t="n"/>
      <c r="Q6" s="143" t="n"/>
    </row>
    <row r="7" ht="14.25" customHeight="1">
      <c r="A7" s="80" t="n">
        <v>1</v>
      </c>
      <c r="B7" s="80" t="n">
        <v>6</v>
      </c>
      <c r="C7" s="80" t="n">
        <v>2022</v>
      </c>
      <c r="D7" s="339">
        <f>DATE(C7,B7,A7)</f>
        <v/>
      </c>
      <c r="E7" s="339">
        <f>EOMONTH(D7,0)</f>
        <v/>
      </c>
      <c r="F7" s="67">
        <f>DAY(E7)</f>
        <v/>
      </c>
      <c r="G7" s="67">
        <f>WEEKDAY(D7,2)</f>
        <v/>
      </c>
      <c r="H7" s="67">
        <f>VLOOKUP(G7,$J$1:$K$7,2,FALSE)</f>
        <v/>
      </c>
      <c r="J7" s="94" t="n">
        <v>7</v>
      </c>
      <c r="K7" s="94" t="inlineStr">
        <is>
          <t>Sun</t>
        </is>
      </c>
      <c r="N7" s="143" t="n"/>
      <c r="O7" s="143" t="n"/>
      <c r="P7" s="143" t="n"/>
      <c r="Q7" s="143" t="n"/>
    </row>
    <row r="8" ht="14.25" customHeight="1">
      <c r="A8" s="80" t="n">
        <v>1</v>
      </c>
      <c r="B8" s="80" t="n">
        <v>7</v>
      </c>
      <c r="C8" s="80" t="n">
        <v>2022</v>
      </c>
      <c r="D8" s="339">
        <f>DATE(C8,B8,A8)</f>
        <v/>
      </c>
      <c r="E8" s="339">
        <f>EOMONTH(D8,0)</f>
        <v/>
      </c>
      <c r="F8" s="67">
        <f>DAY(E8)</f>
        <v/>
      </c>
      <c r="G8" s="67">
        <f>WEEKDAY(D8,2)</f>
        <v/>
      </c>
      <c r="H8" s="67">
        <f>VLOOKUP(G8,$J$1:$K$7,2,FALSE)</f>
        <v/>
      </c>
      <c r="N8" s="143" t="n"/>
      <c r="O8" s="143" t="n"/>
      <c r="P8" s="143" t="n"/>
      <c r="Q8" s="143" t="n"/>
    </row>
    <row r="9" ht="14.25" customHeight="1">
      <c r="A9" s="80" t="n">
        <v>1</v>
      </c>
      <c r="B9" s="80" t="n">
        <v>8</v>
      </c>
      <c r="C9" s="80" t="n">
        <v>2022</v>
      </c>
      <c r="D9" s="339">
        <f>DATE(C9,B9,A9)</f>
        <v/>
      </c>
      <c r="E9" s="339">
        <f>EOMONTH(D9,0)</f>
        <v/>
      </c>
      <c r="F9" s="67">
        <f>DAY(E9)</f>
        <v/>
      </c>
      <c r="G9" s="67">
        <f>WEEKDAY(D9,2)</f>
        <v/>
      </c>
      <c r="H9" s="67">
        <f>VLOOKUP(G9,$J$1:$K$7,2,FALSE)</f>
        <v/>
      </c>
      <c r="N9" s="143" t="n"/>
      <c r="O9" s="143" t="n"/>
      <c r="P9" s="143" t="n"/>
      <c r="Q9" s="143" t="n"/>
    </row>
    <row r="10" ht="14.25" customHeight="1">
      <c r="A10" s="80" t="n">
        <v>1</v>
      </c>
      <c r="B10" s="80" t="n">
        <v>9</v>
      </c>
      <c r="C10" s="80" t="n">
        <v>2022</v>
      </c>
      <c r="D10" s="339">
        <f>DATE(C10,B10,A10)</f>
        <v/>
      </c>
      <c r="E10" s="339">
        <f>EOMONTH(D10,0)</f>
        <v/>
      </c>
      <c r="F10" s="67">
        <f>DAY(E10)</f>
        <v/>
      </c>
      <c r="G10" s="67">
        <f>WEEKDAY(D10,2)</f>
        <v/>
      </c>
      <c r="H10" s="67">
        <f>VLOOKUP(G10,$J$1:$K$7,2,FALSE)</f>
        <v/>
      </c>
    </row>
    <row r="11" ht="14.25" customHeight="1">
      <c r="A11" s="80" t="n">
        <v>1</v>
      </c>
      <c r="B11" s="80" t="n">
        <v>10</v>
      </c>
      <c r="C11" s="80" t="n">
        <v>2022</v>
      </c>
      <c r="D11" s="339">
        <f>DATE(C11,B11,A11)</f>
        <v/>
      </c>
      <c r="E11" s="339">
        <f>EOMONTH(D11,0)</f>
        <v/>
      </c>
      <c r="F11" s="67">
        <f>DAY(E11)</f>
        <v/>
      </c>
      <c r="G11" s="67">
        <f>WEEKDAY(D11,2)</f>
        <v/>
      </c>
      <c r="H11" s="67">
        <f>VLOOKUP(G11,$J$1:$K$7,2,FALSE)</f>
        <v/>
      </c>
    </row>
    <row r="12" ht="14.25" customHeight="1">
      <c r="A12" s="80" t="n">
        <v>1</v>
      </c>
      <c r="B12" s="80" t="n">
        <v>11</v>
      </c>
      <c r="C12" s="80" t="n">
        <v>2022</v>
      </c>
      <c r="D12" s="339">
        <f>DATE(C12,B12,A12)</f>
        <v/>
      </c>
      <c r="E12" s="339">
        <f>EOMONTH(D12,0)</f>
        <v/>
      </c>
      <c r="F12" s="67">
        <f>DAY(E12)</f>
        <v/>
      </c>
      <c r="G12" s="67">
        <f>WEEKDAY(D12,2)</f>
        <v/>
      </c>
      <c r="H12" s="67">
        <f>VLOOKUP(G12,$J$1:$K$7,2,FALSE)</f>
        <v/>
      </c>
    </row>
    <row r="13" ht="14.25" customHeight="1">
      <c r="A13" s="80" t="n">
        <v>1</v>
      </c>
      <c r="B13" s="80" t="n">
        <v>12</v>
      </c>
      <c r="C13" s="80" t="n">
        <v>2022</v>
      </c>
      <c r="D13" s="339">
        <f>DATE(C13,B13,A13)</f>
        <v/>
      </c>
      <c r="E13" s="339">
        <f>EOMONTH(D13,0)</f>
        <v/>
      </c>
      <c r="F13" s="67">
        <f>DAY(E13)</f>
        <v/>
      </c>
      <c r="G13" s="67">
        <f>WEEKDAY(D13,2)</f>
        <v/>
      </c>
      <c r="H13" s="67">
        <f>VLOOKUP(G13,$J$1:$K$7,2,FALSE)</f>
        <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sheetData>
  <mergeCells count="1">
    <mergeCell ref="N1:Q1"/>
  </mergeCells>
  <pageMargins left="0.7" right="0.7" top="0.75" bottom="0.75" header="0" footer="0"/>
  <pageSetup orientation="portrait" paperSize="9"/>
</worksheet>
</file>

<file path=xl/worksheets/sheet13.xml><?xml version="1.0" encoding="utf-8"?>
<worksheet xmlns="http://schemas.openxmlformats.org/spreadsheetml/2006/main">
  <sheetPr>
    <tabColor theme="7"/>
    <outlinePr summaryBelow="1" summaryRight="1"/>
    <pageSetUpPr/>
  </sheetPr>
  <dimension ref="A1:J17"/>
  <sheetViews>
    <sheetView zoomScale="125" zoomScaleNormal="70" workbookViewId="0">
      <selection activeCell="C3" sqref="C3"/>
    </sheetView>
  </sheetViews>
  <sheetFormatPr baseColWidth="10" defaultColWidth="8.83203125" defaultRowHeight="14"/>
  <cols>
    <col width="19.83203125" bestFit="1" customWidth="1" style="1" min="1" max="1"/>
    <col width="7.5" bestFit="1" customWidth="1" style="1" min="2" max="2"/>
    <col width="12.1640625" bestFit="1" customWidth="1" style="1" min="3" max="3"/>
    <col width="11.1640625" bestFit="1" customWidth="1" style="1" min="4" max="4"/>
    <col width="9.33203125" bestFit="1" customWidth="1" style="1" min="5" max="5"/>
    <col width="26.83203125" bestFit="1" customWidth="1" style="1" min="6" max="6"/>
    <col width="17.83203125" customWidth="1" style="1" min="7" max="7"/>
    <col width="12.1640625" customWidth="1" style="1" min="8" max="8"/>
    <col width="16.5" customWidth="1" style="1" min="9" max="9"/>
    <col width="8.83203125" customWidth="1" style="1" min="10" max="16384"/>
  </cols>
  <sheetData>
    <row r="1">
      <c r="A1" s="220" t="inlineStr">
        <is>
          <t>Name</t>
        </is>
      </c>
      <c r="B1" s="220" t="inlineStr">
        <is>
          <t>Gender</t>
        </is>
      </c>
      <c r="C1" s="220" t="inlineStr">
        <is>
          <t>Department</t>
        </is>
      </c>
      <c r="D1" s="220" t="inlineStr">
        <is>
          <t>Date Joined</t>
        </is>
      </c>
      <c r="E1" s="220" t="inlineStr">
        <is>
          <t>Salary</t>
        </is>
      </c>
      <c r="F1" s="220" t="inlineStr">
        <is>
          <t>Bonus, %</t>
        </is>
      </c>
    </row>
    <row r="2">
      <c r="A2" s="2" t="inlineStr">
        <is>
          <t>Barr Faughny</t>
        </is>
      </c>
      <c r="B2" s="2" t="inlineStr">
        <is>
          <t>Female</t>
        </is>
      </c>
      <c r="C2" s="2" t="inlineStr">
        <is>
          <t>Procurement</t>
        </is>
      </c>
      <c r="D2" s="323" t="n">
        <v>43744</v>
      </c>
      <c r="E2" s="8" t="n">
        <v>75000</v>
      </c>
      <c r="F2" s="340">
        <f>IF(C2="Website",0.01,IF(AND(C2="Sales",YEAR(D2)=2018),0.03,0.02))</f>
        <v/>
      </c>
      <c r="H2" s="289" t="inlineStr">
        <is>
          <t>1% for Website staff
3 % for Sales staff joined in 2018
2% for others</t>
        </is>
      </c>
    </row>
    <row r="3" ht="13.75" customHeight="1">
      <c r="A3" s="2" t="inlineStr">
        <is>
          <t>Dennison Crosswaite</t>
        </is>
      </c>
      <c r="B3" s="2" t="inlineStr">
        <is>
          <t>Male</t>
        </is>
      </c>
      <c r="C3" s="2" t="inlineStr">
        <is>
          <t>Website</t>
        </is>
      </c>
      <c r="D3" s="323" t="n">
        <v>43601</v>
      </c>
      <c r="E3" s="8" t="n">
        <v>90700</v>
      </c>
      <c r="F3" s="340">
        <f>IF(C3="Website",0.01,IF(AND(C3="Sales",YEAR(D3)=2018),0.03,0.02))</f>
        <v/>
      </c>
    </row>
    <row r="4" ht="13.75" customHeight="1">
      <c r="A4" s="2" t="inlineStr">
        <is>
          <t>Gunar Cockshoot</t>
        </is>
      </c>
      <c r="B4" s="2" t="inlineStr">
        <is>
          <t>Male</t>
        </is>
      </c>
      <c r="C4" s="2" t="inlineStr">
        <is>
          <t>Website</t>
        </is>
      </c>
      <c r="D4" s="323" t="n">
        <v>43476</v>
      </c>
      <c r="E4" s="8" t="n">
        <v>48950</v>
      </c>
      <c r="F4" s="340">
        <f>IF(C4="Website",0.01,IF(AND(C4="Sales",YEAR(D4)=2018),0.03,0.02))</f>
        <v/>
      </c>
    </row>
    <row r="5" ht="13.75" customHeight="1">
      <c r="A5" s="2" t="inlineStr">
        <is>
          <t>Gigi Bohling</t>
        </is>
      </c>
      <c r="B5" s="2" t="inlineStr">
        <is>
          <t>Male</t>
        </is>
      </c>
      <c r="C5" s="2" t="inlineStr">
        <is>
          <t>Sales</t>
        </is>
      </c>
      <c r="D5" s="323" t="n">
        <v>43351</v>
      </c>
      <c r="E5" s="8" t="n">
        <v>74550</v>
      </c>
      <c r="F5" s="340">
        <f>IF(C5="Website",0.01,IF(AND(C5="Sales",YEAR(D5)=2018),0.03,0.02))</f>
        <v/>
      </c>
    </row>
    <row r="6" ht="13.75" customHeight="1">
      <c r="A6" s="2" t="inlineStr">
        <is>
          <t>Curtice Advani</t>
        </is>
      </c>
      <c r="B6" s="2" t="inlineStr">
        <is>
          <t>Male</t>
        </is>
      </c>
      <c r="C6" s="2" t="inlineStr">
        <is>
          <t>Finance</t>
        </is>
      </c>
      <c r="D6" s="323" t="n">
        <v>43560</v>
      </c>
      <c r="E6" s="8" t="n">
        <v>59810</v>
      </c>
      <c r="F6" s="340">
        <f>IF(C6="Website",0.01,IF(AND(C6="Sales",YEAR(D6)=2018),0.03,0.02))</f>
        <v/>
      </c>
    </row>
    <row r="7" ht="13.75" customHeight="1">
      <c r="A7" s="2" t="inlineStr">
        <is>
          <t>Kaine Padly</t>
        </is>
      </c>
      <c r="B7" s="2" t="inlineStr">
        <is>
          <t>Male</t>
        </is>
      </c>
      <c r="C7" s="2" t="inlineStr">
        <is>
          <t>Website</t>
        </is>
      </c>
      <c r="D7" s="323" t="n">
        <v>43424</v>
      </c>
      <c r="E7" s="8" t="n">
        <v>107700</v>
      </c>
      <c r="F7" s="340">
        <f>IF(C7="Website",0.01,IF(AND(C7="Sales",YEAR(D7)=2018),0.03,0.02))</f>
        <v/>
      </c>
    </row>
    <row r="8" ht="13.75" customHeight="1">
      <c r="A8" s="2" t="inlineStr">
        <is>
          <t>Ches Bonnell</t>
        </is>
      </c>
      <c r="B8" s="2" t="inlineStr">
        <is>
          <t>Male</t>
        </is>
      </c>
      <c r="C8" s="2" t="inlineStr">
        <is>
          <t>Website</t>
        </is>
      </c>
      <c r="D8" s="323" t="n">
        <v>43303</v>
      </c>
      <c r="E8" s="8" t="n">
        <v>88050</v>
      </c>
      <c r="F8" s="340">
        <f>IF(C8="Website",0.01,IF(AND(C8="Sales",YEAR(D8)=2018),0.03,0.02))</f>
        <v/>
      </c>
    </row>
    <row r="9">
      <c r="A9" s="2" t="inlineStr">
        <is>
          <t>Andria Kimpton</t>
        </is>
      </c>
      <c r="B9" s="2" t="inlineStr">
        <is>
          <t>Male</t>
        </is>
      </c>
      <c r="C9" s="2" t="inlineStr">
        <is>
          <t>Website</t>
        </is>
      </c>
      <c r="D9" s="323" t="n">
        <v>43238</v>
      </c>
      <c r="E9" s="8" t="n">
        <v>69120</v>
      </c>
      <c r="F9" s="340">
        <f>IF(C9="Website",0.01,IF(AND(C9="Sales",YEAR(D9)=2018),0.03,0.02))</f>
        <v/>
      </c>
    </row>
    <row r="10">
      <c r="A10" s="2" t="inlineStr">
        <is>
          <t>Brien Boise</t>
        </is>
      </c>
      <c r="B10" s="2" t="inlineStr">
        <is>
          <t>Female</t>
        </is>
      </c>
      <c r="C10" s="2" t="inlineStr">
        <is>
          <t>Website</t>
        </is>
      </c>
      <c r="D10" s="323" t="n">
        <v>43628</v>
      </c>
      <c r="E10" s="8" t="n">
        <v>58100</v>
      </c>
      <c r="F10" s="340">
        <f>IF(C10="Website",0.01,IF(AND(C10="Sales",YEAR(D10)=2018),0.03,0.02))</f>
        <v/>
      </c>
    </row>
    <row r="11">
      <c r="A11" s="2" t="inlineStr">
        <is>
          <t>Husein Augar</t>
        </is>
      </c>
      <c r="B11" s="2" t="inlineStr">
        <is>
          <t>Female</t>
        </is>
      </c>
      <c r="C11" s="2" t="inlineStr">
        <is>
          <t>Finance</t>
        </is>
      </c>
      <c r="D11" s="323" t="n">
        <v>43355</v>
      </c>
      <c r="E11" s="8" t="n">
        <v>67910</v>
      </c>
      <c r="F11" s="340">
        <f>IF(C11="Website",0.01,IF(AND(C11="Sales",YEAR(D11)=2018),0.03,0.02))</f>
        <v/>
      </c>
    </row>
    <row r="12">
      <c r="A12" s="2" t="inlineStr">
        <is>
          <t>Jan Morforth</t>
        </is>
      </c>
      <c r="B12" s="2" t="inlineStr">
        <is>
          <t>Male</t>
        </is>
      </c>
      <c r="C12" s="2" t="inlineStr">
        <is>
          <t>Finance</t>
        </is>
      </c>
      <c r="D12" s="323" t="n">
        <v>43007</v>
      </c>
      <c r="E12" s="8" t="n">
        <v>48170</v>
      </c>
      <c r="F12" s="340">
        <f>IF(C12="Website",0.01,IF(AND(C12="Sales",YEAR(D12)=2018),0.03,0.02))</f>
        <v/>
      </c>
    </row>
    <row r="13">
      <c r="A13" s="2" t="inlineStr">
        <is>
          <t>Dotty Strutley</t>
        </is>
      </c>
      <c r="B13" s="2" t="inlineStr">
        <is>
          <t>Female</t>
        </is>
      </c>
      <c r="C13" s="2" t="inlineStr">
        <is>
          <t>Website</t>
        </is>
      </c>
      <c r="D13" s="323" t="n">
        <v>43110</v>
      </c>
      <c r="E13" s="8" t="n">
        <v>41980</v>
      </c>
      <c r="F13" s="340">
        <f>IF(C13="Website",0.01,IF(AND(C13="Sales",YEAR(D13)=2018),0.03,0.02))</f>
        <v/>
      </c>
    </row>
    <row r="14">
      <c r="A14" s="2" t="inlineStr">
        <is>
          <t>Marney O'Breen</t>
        </is>
      </c>
      <c r="B14" s="2" t="inlineStr">
        <is>
          <t>Female</t>
        </is>
      </c>
      <c r="C14" s="2" t="inlineStr">
        <is>
          <t>Finance</t>
        </is>
      </c>
      <c r="D14" s="323" t="n">
        <v>43282</v>
      </c>
      <c r="E14" s="8" t="n">
        <v>65920</v>
      </c>
      <c r="F14" s="340">
        <f>IF(C14="Website",0.01,IF(AND(C14="Sales",YEAR(D14)=2018),0.03,0.02))</f>
        <v/>
      </c>
    </row>
    <row r="15">
      <c r="A15" s="2" t="inlineStr">
        <is>
          <t>Rafaelita Blaksland</t>
        </is>
      </c>
      <c r="B15" s="2" t="inlineStr">
        <is>
          <t>Female</t>
        </is>
      </c>
      <c r="C15" s="2" t="inlineStr">
        <is>
          <t>Sales</t>
        </is>
      </c>
      <c r="D15" s="323" t="n">
        <v>43342</v>
      </c>
      <c r="E15" s="8" t="n">
        <v>109160</v>
      </c>
      <c r="F15" s="340">
        <f>IF(C15="Website",0.01,IF(AND(C15="Sales",YEAR(D15)=2018),0.03,0.02))</f>
        <v/>
      </c>
    </row>
    <row r="16">
      <c r="A16" s="2" t="inlineStr">
        <is>
          <t>Beverie Moffet</t>
        </is>
      </c>
      <c r="B16" s="2" t="inlineStr">
        <is>
          <t>Female</t>
        </is>
      </c>
      <c r="C16" s="2" t="inlineStr">
        <is>
          <t>Finance</t>
        </is>
      </c>
      <c r="D16" s="323" t="n">
        <v>43151</v>
      </c>
      <c r="E16" s="8" t="n">
        <v>75970</v>
      </c>
      <c r="F16" s="340">
        <f>IF(C16="Website",0.01,IF(AND(C16="Sales",YEAR(D16)=2018),0.03,0.02))</f>
        <v/>
      </c>
    </row>
    <row r="17">
      <c r="A17" s="2" t="inlineStr">
        <is>
          <t>Oby Sorrel</t>
        </is>
      </c>
      <c r="B17" s="2" t="inlineStr">
        <is>
          <t>Female</t>
        </is>
      </c>
      <c r="C17" s="2" t="inlineStr">
        <is>
          <t>Finance</t>
        </is>
      </c>
      <c r="D17" s="323" t="n">
        <v>43618</v>
      </c>
      <c r="E17" s="8" t="n">
        <v>58940</v>
      </c>
      <c r="F17" s="340">
        <f>IF(C17="Website",0.01,IF(AND(C17="Sales",YEAR(D17)=2018),0.03,0.02))</f>
        <v/>
      </c>
    </row>
  </sheetData>
  <mergeCells count="1">
    <mergeCell ref="H2:J8"/>
  </mergeCells>
  <pageMargins left="0.7" right="0.7" top="0.75" bottom="0.75" header="0.3" footer="0.3"/>
  <pageSetup orientation="portrait" paperSize="9"/>
</worksheet>
</file>

<file path=xl/worksheets/sheet14.xml><?xml version="1.0" encoding="utf-8"?>
<worksheet xmlns="http://schemas.openxmlformats.org/spreadsheetml/2006/main">
  <sheetPr>
    <tabColor rgb="FF7030A0"/>
    <outlinePr summaryBelow="1" summaryRight="1"/>
    <pageSetUpPr/>
  </sheetPr>
  <dimension ref="A1:Q77"/>
  <sheetViews>
    <sheetView topLeftCell="A50" zoomScale="133" zoomScaleNormal="100" workbookViewId="0">
      <selection activeCell="J66" sqref="J66:O74"/>
    </sheetView>
  </sheetViews>
  <sheetFormatPr baseColWidth="10" defaultColWidth="8.83203125" defaultRowHeight="14"/>
  <cols>
    <col width="16.33203125" customWidth="1" style="1" min="1" max="1"/>
    <col width="11.6640625" customWidth="1" style="1" min="2" max="2"/>
    <col width="8.83203125" customWidth="1" style="1" min="3" max="7"/>
    <col width="15.1640625" customWidth="1" style="1" min="8" max="8"/>
    <col width="8.83203125" customWidth="1" style="1" min="9" max="16384"/>
  </cols>
  <sheetData>
    <row r="1" ht="46.5" customHeight="1" thickBot="1">
      <c r="A1" s="341" t="inlineStr">
        <is>
          <t>In addition to the standard reference to a cell (through its address), in formulas, you can use the cell names and ranges specified in advance by the User</t>
        </is>
      </c>
      <c r="B1" s="342" t="n"/>
      <c r="C1" s="342" t="n"/>
      <c r="D1" s="342" t="n"/>
      <c r="E1" s="342" t="n"/>
      <c r="F1" s="342" t="n"/>
      <c r="G1" s="342" t="n"/>
      <c r="H1" s="342" t="n"/>
      <c r="I1" s="342" t="n"/>
      <c r="J1" s="342" t="n"/>
      <c r="K1" s="343" t="n"/>
    </row>
    <row r="2" ht="16" customHeight="1">
      <c r="A2" s="302" t="n"/>
      <c r="B2" s="302" t="n"/>
      <c r="C2" s="302" t="n"/>
      <c r="D2" s="302" t="n"/>
      <c r="E2" s="302" t="n"/>
      <c r="F2" s="302" t="n"/>
      <c r="G2" s="302" t="n"/>
      <c r="H2" s="302" t="n"/>
      <c r="I2" s="302" t="n"/>
      <c r="J2" s="302" t="n"/>
      <c r="K2" s="302" t="n"/>
      <c r="L2" s="151" t="n"/>
    </row>
    <row r="3" ht="16" customHeight="1">
      <c r="A3" s="152" t="inlineStr">
        <is>
          <t xml:space="preserve">Exmaple: </t>
        </is>
      </c>
      <c r="B3" s="152" t="inlineStr">
        <is>
          <t>except</t>
        </is>
      </c>
      <c r="C3" s="153" t="inlineStr">
        <is>
          <t>=А2*$C$2</t>
        </is>
      </c>
      <c r="D3" s="152" t="n"/>
      <c r="E3" s="152" t="n"/>
      <c r="F3" s="152" t="n"/>
      <c r="G3" s="152" t="n"/>
      <c r="H3" s="152" t="n"/>
      <c r="I3" s="152" t="n"/>
      <c r="J3" s="152" t="n"/>
      <c r="K3" s="152" t="n"/>
    </row>
    <row r="4" ht="16" customHeight="1">
      <c r="A4" s="152" t="n"/>
      <c r="B4" s="152" t="inlineStr">
        <is>
          <t>possible</t>
        </is>
      </c>
      <c r="C4" s="153" t="inlineStr">
        <is>
          <t>=А2*USD</t>
        </is>
      </c>
      <c r="D4" s="152" t="n"/>
      <c r="E4" s="152" t="n"/>
      <c r="F4" s="152" t="n"/>
      <c r="G4" s="152" t="n"/>
      <c r="H4" s="152" t="n"/>
      <c r="I4" s="152" t="n"/>
      <c r="J4" s="152" t="n"/>
      <c r="K4" s="152" t="n"/>
    </row>
    <row r="5" ht="16" customHeight="1">
      <c r="A5" s="152" t="n"/>
      <c r="B5" s="152" t="n"/>
      <c r="C5" s="152" t="n"/>
      <c r="D5" s="152" t="n"/>
      <c r="E5" s="152" t="n"/>
      <c r="F5" s="152" t="n"/>
      <c r="G5" s="152" t="n"/>
      <c r="H5" s="152" t="n"/>
      <c r="I5" s="152" t="n"/>
      <c r="J5" s="152" t="n"/>
      <c r="K5" s="152" t="n"/>
    </row>
    <row r="6" ht="16" customHeight="1">
      <c r="A6" s="300" t="inlineStr">
        <is>
          <t>How to?</t>
        </is>
      </c>
      <c r="B6" s="306" t="n"/>
      <c r="C6" s="306" t="n"/>
      <c r="D6" s="306" t="n"/>
      <c r="E6" s="306" t="n"/>
      <c r="F6" s="306" t="n"/>
      <c r="G6" s="306" t="n"/>
      <c r="H6" s="306" t="n"/>
      <c r="I6" s="306" t="n"/>
      <c r="J6" s="306" t="n"/>
      <c r="K6" s="307" t="n"/>
    </row>
    <row r="7" ht="16" customHeight="1">
      <c r="A7" s="152" t="n"/>
      <c r="B7" s="152" t="n"/>
      <c r="C7" s="152" t="n"/>
      <c r="D7" s="152" t="n"/>
      <c r="E7" s="152" t="n"/>
      <c r="F7" s="152" t="n"/>
      <c r="G7" s="152" t="n"/>
      <c r="H7" s="152" t="n"/>
      <c r="I7" s="152" t="n"/>
      <c r="J7" s="152" t="n"/>
      <c r="K7" s="152" t="n"/>
    </row>
    <row r="8" ht="16" customHeight="1">
      <c r="A8" s="301" t="inlineStr">
        <is>
          <t>Method 1. Fast</t>
        </is>
      </c>
    </row>
    <row r="9" ht="16" customHeight="1">
      <c r="A9" s="152" t="n"/>
      <c r="B9" s="301" t="n"/>
      <c r="C9" s="301" t="n"/>
      <c r="D9" s="301" t="n"/>
      <c r="E9" s="301" t="n"/>
      <c r="F9" s="301" t="n"/>
      <c r="G9" s="301" t="n"/>
      <c r="H9" s="301" t="n"/>
      <c r="I9" s="301" t="n"/>
      <c r="J9" s="301" t="n"/>
      <c r="K9" s="152" t="n"/>
    </row>
    <row r="10" ht="16" customHeight="1">
      <c r="A10" s="302" t="inlineStr">
        <is>
          <t>Step 1: select a cell or a range</t>
        </is>
      </c>
    </row>
    <row r="11" ht="16" customHeight="1">
      <c r="A11" s="302" t="n"/>
      <c r="B11" s="302" t="n"/>
      <c r="C11" s="302" t="n"/>
      <c r="D11" s="302" t="n"/>
      <c r="E11" s="302" t="n"/>
      <c r="F11" s="302" t="n"/>
      <c r="G11" s="302" t="n"/>
      <c r="H11" s="302" t="n"/>
      <c r="I11" s="302" t="n"/>
      <c r="J11" s="302" t="n"/>
      <c r="K11" s="302" t="n"/>
    </row>
    <row r="12" ht="36" customHeight="1">
      <c r="A12" s="303" t="inlineStr">
        <is>
          <t>Step 2: give it a certain name in the special window to the left of the formula bar. Always press Enter!</t>
        </is>
      </c>
    </row>
    <row r="13" ht="16" customHeight="1">
      <c r="A13" s="152" t="n"/>
      <c r="B13" s="152" t="n"/>
      <c r="C13" s="152" t="n"/>
      <c r="D13" s="152" t="n"/>
      <c r="E13" s="152" t="n"/>
      <c r="F13" s="152" t="n"/>
      <c r="G13" s="152" t="n"/>
      <c r="H13" s="152" t="n"/>
      <c r="I13" s="152" t="n"/>
      <c r="J13" s="152" t="n"/>
      <c r="K13" s="152" t="n"/>
    </row>
    <row r="14" ht="16" customHeight="1">
      <c r="A14" s="152" t="n"/>
      <c r="B14" s="152" t="n"/>
      <c r="C14" s="152" t="n"/>
      <c r="D14" s="152" t="n"/>
      <c r="E14" s="152" t="n"/>
      <c r="F14" s="152" t="n"/>
      <c r="G14" s="152" t="n"/>
      <c r="H14" s="152" t="n"/>
      <c r="I14" s="152" t="n"/>
      <c r="J14" s="152" t="n"/>
      <c r="K14" s="152" t="n"/>
    </row>
    <row r="15" ht="16" customHeight="1">
      <c r="A15" s="152" t="n"/>
      <c r="B15" s="152" t="n"/>
      <c r="C15" s="152" t="n"/>
      <c r="D15" s="152" t="n"/>
      <c r="E15" s="152" t="n"/>
      <c r="F15" s="152" t="n"/>
      <c r="G15" s="152" t="n"/>
      <c r="H15" s="152" t="n"/>
      <c r="I15" s="152" t="n"/>
      <c r="J15" s="152" t="n"/>
      <c r="K15" s="152" t="n"/>
    </row>
    <row r="16" ht="16" customHeight="1">
      <c r="A16" s="152" t="n"/>
      <c r="B16" s="152" t="n"/>
      <c r="C16" s="152" t="n"/>
      <c r="D16" s="152" t="n"/>
      <c r="E16" s="152" t="n"/>
      <c r="F16" s="152" t="n"/>
      <c r="G16" s="152" t="n"/>
      <c r="H16" s="152" t="n"/>
      <c r="I16" s="152" t="n"/>
      <c r="J16" s="152" t="n"/>
      <c r="K16" s="152" t="n"/>
    </row>
    <row r="17" ht="16" customHeight="1">
      <c r="A17" s="301" t="inlineStr">
        <is>
          <t>Method 2. Customized</t>
        </is>
      </c>
    </row>
    <row r="18" ht="16" customHeight="1">
      <c r="A18" s="152" t="n"/>
      <c r="B18" s="152" t="n"/>
      <c r="C18" s="152" t="n"/>
      <c r="D18" s="152" t="n"/>
      <c r="E18" s="152" t="n"/>
      <c r="F18" s="152" t="n"/>
      <c r="G18" s="152" t="n"/>
      <c r="H18" s="152" t="n"/>
      <c r="I18" s="152" t="n"/>
      <c r="J18" s="152" t="n"/>
      <c r="K18" s="152" t="n"/>
    </row>
    <row r="19" ht="15.75" customHeight="1">
      <c r="A19" s="302" t="inlineStr">
        <is>
          <t>Step 1: select a cell or a range</t>
        </is>
      </c>
    </row>
    <row r="20" ht="16" customHeight="1">
      <c r="A20" s="152" t="n"/>
      <c r="B20" s="152" t="n"/>
      <c r="C20" s="152" t="n"/>
      <c r="D20" s="152" t="n"/>
      <c r="E20" s="152" t="n"/>
      <c r="F20" s="152" t="n"/>
      <c r="G20" s="152" t="n"/>
      <c r="H20" s="152" t="n"/>
      <c r="I20" s="152" t="n"/>
      <c r="J20" s="152" t="n"/>
      <c r="K20" s="152" t="n"/>
    </row>
    <row r="21" ht="16" customHeight="1">
      <c r="A21" s="302" t="inlineStr">
        <is>
          <t>Step 2: Formulas tab - Defined names - Define Name</t>
        </is>
      </c>
    </row>
    <row r="22" ht="16" customHeight="1">
      <c r="A22" s="304" t="inlineStr">
        <is>
          <t>or</t>
        </is>
      </c>
    </row>
    <row r="23" ht="16" customHeight="1">
      <c r="A23" s="302" t="inlineStr">
        <is>
          <t>Right mouse click - Define name</t>
        </is>
      </c>
    </row>
    <row r="24" ht="16" customHeight="1">
      <c r="A24" s="152" t="n"/>
      <c r="B24" s="152" t="n"/>
      <c r="C24" s="152" t="n"/>
      <c r="D24" s="152" t="n"/>
      <c r="E24" s="152" t="n"/>
      <c r="F24" s="152" t="n"/>
      <c r="G24" s="152" t="n"/>
      <c r="H24" s="152" t="n"/>
      <c r="I24" s="152" t="n"/>
      <c r="J24" s="152" t="n"/>
      <c r="K24" s="152" t="n"/>
    </row>
    <row r="25" ht="16" customHeight="1">
      <c r="A25" s="295" t="inlineStr">
        <is>
          <t>Step 3:</t>
        </is>
      </c>
    </row>
    <row r="26" ht="16" customHeight="1">
      <c r="A26" s="152" t="n"/>
      <c r="B26" s="152" t="n"/>
      <c r="C26" s="152" t="n"/>
      <c r="D26" s="152" t="n"/>
      <c r="E26" s="152" t="n"/>
      <c r="F26" s="152" t="n"/>
      <c r="G26" s="152" t="n"/>
      <c r="H26" s="152" t="n"/>
      <c r="I26" s="152" t="n"/>
      <c r="J26" s="152" t="n"/>
      <c r="K26" s="152" t="n"/>
    </row>
    <row r="27" ht="16" customHeight="1">
      <c r="A27" s="152" t="n"/>
      <c r="B27" s="152" t="n"/>
      <c r="C27" s="152" t="n"/>
      <c r="D27" s="152" t="n"/>
      <c r="E27" s="152" t="n"/>
      <c r="F27" s="152" t="n"/>
      <c r="G27" s="152" t="n"/>
      <c r="H27" s="152" t="n"/>
      <c r="I27" s="152" t="n"/>
      <c r="J27" s="152" t="n"/>
      <c r="K27" s="152" t="n"/>
    </row>
    <row r="28" ht="16" customHeight="1">
      <c r="A28" s="152" t="n"/>
      <c r="B28" s="152" t="n"/>
      <c r="C28" s="152" t="n"/>
      <c r="D28" s="152" t="n"/>
      <c r="E28" s="152" t="n"/>
      <c r="F28" s="152" t="n"/>
      <c r="G28" s="152" t="n"/>
      <c r="H28" s="152" t="n"/>
      <c r="I28" s="152" t="n"/>
      <c r="J28" s="152" t="n"/>
      <c r="K28" s="152" t="n"/>
    </row>
    <row r="29" ht="16" customHeight="1">
      <c r="A29" s="152" t="n"/>
      <c r="B29" s="152" t="n"/>
      <c r="C29" s="152" t="n"/>
      <c r="D29" s="152" t="n"/>
      <c r="E29" s="152" t="n"/>
      <c r="F29" s="152" t="n"/>
      <c r="G29" s="152" t="n"/>
      <c r="H29" s="152" t="n"/>
      <c r="I29" s="152" t="n"/>
      <c r="J29" s="152" t="n"/>
      <c r="K29" s="152" t="n"/>
    </row>
    <row r="30" ht="16" customHeight="1">
      <c r="A30" s="152" t="n"/>
      <c r="B30" s="152" t="n"/>
      <c r="C30" s="152" t="n"/>
      <c r="D30" s="152" t="n"/>
      <c r="E30" s="152" t="n"/>
      <c r="F30" s="152" t="n"/>
      <c r="G30" s="152" t="n"/>
      <c r="H30" s="152" t="n"/>
      <c r="I30" s="152" t="n"/>
      <c r="J30" s="152" t="n"/>
      <c r="K30" s="152" t="n"/>
    </row>
    <row r="31" ht="16" customHeight="1">
      <c r="A31" s="152" t="n"/>
      <c r="B31" s="152" t="n"/>
      <c r="C31" s="152" t="n"/>
      <c r="D31" s="152" t="n"/>
      <c r="E31" s="152" t="n"/>
      <c r="F31" s="152" t="n"/>
      <c r="G31" s="152" t="n"/>
      <c r="H31" s="152" t="n"/>
      <c r="I31" s="152" t="n"/>
      <c r="J31" s="152" t="n"/>
      <c r="K31" s="152" t="n"/>
    </row>
    <row r="32" ht="16" customHeight="1">
      <c r="A32" s="152" t="n"/>
      <c r="B32" s="152" t="n"/>
      <c r="C32" s="152" t="n"/>
      <c r="D32" s="152" t="n"/>
      <c r="E32" s="152" t="n"/>
      <c r="F32" s="152" t="n"/>
      <c r="G32" s="152" t="n"/>
      <c r="I32" s="152" t="n"/>
      <c r="J32" s="152" t="n"/>
      <c r="K32" s="152" t="n"/>
    </row>
    <row r="33" ht="16" customHeight="1">
      <c r="A33" s="152" t="n"/>
      <c r="B33" s="152" t="n"/>
      <c r="C33" s="152" t="n"/>
      <c r="D33" s="152" t="n"/>
      <c r="E33" s="152" t="n"/>
      <c r="F33" s="152" t="n"/>
      <c r="G33" s="152" t="n"/>
      <c r="H33" s="152" t="n"/>
      <c r="I33" s="152" t="n"/>
      <c r="J33" s="152" t="n"/>
      <c r="K33" s="152" t="n"/>
    </row>
    <row r="34" ht="16" customHeight="1">
      <c r="A34" s="152" t="n"/>
      <c r="B34" s="152" t="n"/>
      <c r="C34" s="152" t="n"/>
      <c r="D34" s="152" t="n"/>
      <c r="E34" s="152" t="n"/>
      <c r="F34" s="152" t="n"/>
      <c r="G34" s="152" t="n"/>
      <c r="H34" s="152" t="n"/>
      <c r="I34" s="152" t="n"/>
      <c r="J34" s="152" t="n"/>
      <c r="K34" s="152" t="n"/>
    </row>
    <row r="35" ht="16" customHeight="1">
      <c r="A35" s="152" t="n"/>
      <c r="B35" s="152" t="n"/>
      <c r="C35" s="152" t="n"/>
      <c r="D35" s="152" t="n"/>
      <c r="E35" s="152" t="n"/>
      <c r="F35" s="152" t="n"/>
      <c r="G35" s="152" t="n"/>
      <c r="H35" s="152" t="n"/>
      <c r="I35" s="152" t="n"/>
      <c r="J35" s="152" t="n"/>
      <c r="K35" s="152" t="n"/>
    </row>
    <row r="36" ht="16" customHeight="1">
      <c r="A36" s="152" t="n"/>
      <c r="B36" s="152" t="n"/>
      <c r="C36" s="152" t="n"/>
      <c r="D36" s="152" t="n"/>
      <c r="E36" s="152" t="n"/>
      <c r="F36" s="152" t="n"/>
      <c r="G36" s="152" t="n"/>
      <c r="H36" s="152" t="n"/>
      <c r="I36" s="152" t="n"/>
      <c r="J36" s="152" t="n"/>
      <c r="K36" s="152" t="n"/>
    </row>
    <row r="37" ht="16" customHeight="1">
      <c r="A37" s="152" t="n"/>
      <c r="B37" s="152" t="n"/>
      <c r="C37" s="152" t="n"/>
      <c r="D37" s="152" t="n"/>
      <c r="E37" s="152" t="n"/>
      <c r="F37" s="152" t="n"/>
      <c r="G37" s="152" t="n"/>
      <c r="H37" s="152" t="n"/>
      <c r="I37" s="152" t="n"/>
      <c r="J37" s="152" t="n"/>
      <c r="K37" s="152" t="n"/>
    </row>
    <row r="38" ht="16" customHeight="1">
      <c r="A38" s="152" t="n"/>
      <c r="B38" s="152" t="n"/>
      <c r="C38" s="152" t="n"/>
      <c r="D38" s="152" t="n"/>
      <c r="E38" s="152" t="n"/>
      <c r="F38" s="152" t="n"/>
      <c r="G38" s="152" t="n"/>
      <c r="H38" s="152" t="n"/>
      <c r="I38" s="152" t="n"/>
      <c r="J38" s="152" t="n"/>
      <c r="K38" s="152" t="n"/>
    </row>
    <row r="39" ht="16" customHeight="1">
      <c r="A39" s="152" t="n"/>
      <c r="B39" s="152" t="n"/>
      <c r="C39" s="152" t="n"/>
      <c r="D39" s="152" t="n"/>
      <c r="E39" s="152" t="n"/>
      <c r="F39" s="152" t="n"/>
      <c r="G39" s="152" t="n"/>
      <c r="H39" s="152" t="n"/>
      <c r="I39" s="152" t="n"/>
      <c r="J39" s="152" t="n"/>
      <c r="K39" s="152" t="n"/>
    </row>
    <row r="40" ht="16" customHeight="1">
      <c r="A40" s="152" t="n"/>
      <c r="B40" s="152" t="n"/>
      <c r="C40" s="152" t="n"/>
      <c r="D40" s="152" t="n"/>
      <c r="E40" s="152" t="n"/>
      <c r="F40" s="152" t="n"/>
      <c r="G40" s="152" t="n"/>
      <c r="H40" s="152" t="n"/>
      <c r="I40" s="152" t="n"/>
      <c r="J40" s="152" t="n"/>
      <c r="K40" s="152" t="n"/>
    </row>
    <row r="41" ht="16" customHeight="1">
      <c r="A41" s="152" t="n"/>
      <c r="B41" s="152" t="n"/>
      <c r="C41" s="152" t="n"/>
      <c r="D41" s="152" t="n"/>
      <c r="E41" s="152" t="n"/>
      <c r="F41" s="152" t="n"/>
      <c r="G41" s="152" t="n"/>
      <c r="H41" s="152" t="n"/>
      <c r="I41" s="152" t="n"/>
      <c r="J41" s="152" t="n"/>
      <c r="K41" s="152" t="n"/>
    </row>
    <row r="42" ht="16" customHeight="1">
      <c r="A42" s="152" t="n"/>
      <c r="B42" s="152" t="n"/>
      <c r="C42" s="152" t="n"/>
      <c r="D42" s="152" t="n"/>
      <c r="E42" s="152" t="n"/>
      <c r="F42" s="152" t="n"/>
      <c r="G42" s="152" t="n"/>
      <c r="H42" s="152" t="n"/>
      <c r="I42" s="152" t="n"/>
      <c r="J42" s="152" t="n"/>
      <c r="K42" s="152" t="n"/>
    </row>
    <row r="43" ht="16" customHeight="1">
      <c r="A43" s="152" t="n"/>
      <c r="B43" s="152" t="n"/>
      <c r="C43" s="152" t="n"/>
      <c r="D43" s="152" t="n"/>
      <c r="E43" s="152" t="n"/>
      <c r="F43" s="152" t="n"/>
      <c r="G43" s="152" t="n"/>
      <c r="H43" s="152" t="n"/>
      <c r="I43" s="152" t="n"/>
      <c r="J43" s="152" t="n"/>
      <c r="K43" s="152" t="n"/>
    </row>
    <row r="44" ht="16" customHeight="1">
      <c r="A44" s="155" t="inlineStr">
        <is>
          <t xml:space="preserve">Name: </t>
        </is>
      </c>
      <c r="B44" s="293" t="inlineStr">
        <is>
          <t>type the name of a cell or a range</t>
        </is>
      </c>
    </row>
    <row r="45" ht="16" customHeight="1">
      <c r="A45" s="155" t="inlineStr">
        <is>
          <t xml:space="preserve">Scope: </t>
        </is>
      </c>
      <c r="B45" s="293" t="inlineStr">
        <is>
          <t>Workbook - use in any worksheet</t>
        </is>
      </c>
    </row>
    <row r="46" ht="16" customHeight="1">
      <c r="A46" s="156" t="n"/>
      <c r="B46" s="293" t="inlineStr">
        <is>
          <t>*Worksheet name* - use only within the specified worksheet</t>
        </is>
      </c>
    </row>
    <row r="47" ht="16" customHeight="1">
      <c r="A47" s="155" t="inlineStr">
        <is>
          <t xml:space="preserve">Comment: </t>
        </is>
      </c>
      <c r="B47" s="293" t="inlineStr">
        <is>
          <t>any corresponding description</t>
        </is>
      </c>
    </row>
    <row r="48" ht="16" customHeight="1">
      <c r="A48" s="155" t="inlineStr">
        <is>
          <t xml:space="preserve">Refers to: </t>
        </is>
      </c>
      <c r="B48" s="293" t="inlineStr">
        <is>
          <t>references  of selected cell(s)</t>
        </is>
      </c>
    </row>
    <row r="49" ht="16" customHeight="1">
      <c r="A49" s="155" t="n"/>
      <c r="B49" s="293" t="n"/>
      <c r="C49" s="293" t="n"/>
      <c r="D49" s="293" t="n"/>
      <c r="E49" s="293" t="n"/>
      <c r="F49" s="293" t="n"/>
      <c r="G49" s="293" t="n"/>
      <c r="H49" s="293" t="n"/>
      <c r="I49" s="293" t="n"/>
      <c r="J49" s="293" t="n"/>
      <c r="K49" s="293" t="n"/>
    </row>
    <row r="50">
      <c r="A50" s="294" t="inlineStr">
        <is>
          <t>Benefits of named ranges</t>
        </is>
      </c>
    </row>
    <row r="51" ht="16" customHeight="1">
      <c r="A51" s="152" t="n"/>
      <c r="B51" s="152" t="n"/>
      <c r="C51" s="152" t="n"/>
      <c r="D51" s="152" t="n"/>
      <c r="E51" s="152" t="n"/>
      <c r="F51" s="152" t="n"/>
      <c r="G51" s="152" t="n"/>
      <c r="H51" s="152" t="n"/>
      <c r="I51" s="152" t="n"/>
      <c r="J51" s="152" t="n"/>
      <c r="K51" s="152" t="n"/>
    </row>
    <row r="52" ht="16" customHeight="1">
      <c r="A52" s="295" t="inlineStr">
        <is>
          <t>Specific requirements</t>
        </is>
      </c>
    </row>
    <row r="53" ht="16" customHeight="1">
      <c r="A53" s="152" t="n"/>
      <c r="B53" s="152" t="n"/>
      <c r="C53" s="152" t="n"/>
      <c r="D53" s="152" t="n"/>
      <c r="E53" s="152" t="n"/>
      <c r="F53" s="152" t="n"/>
      <c r="G53" s="152" t="n"/>
      <c r="H53" s="152" t="n"/>
      <c r="I53" s="152" t="n"/>
      <c r="J53" s="152" t="n"/>
      <c r="K53" s="152" t="n"/>
    </row>
    <row r="54" ht="16" customHeight="1">
      <c r="A54" s="296" t="inlineStr">
        <is>
          <t>1. Do not use spaces</t>
        </is>
      </c>
    </row>
    <row r="55" ht="16" customHeight="1">
      <c r="A55" s="296" t="inlineStr">
        <is>
          <t>2. The name can begin with a letter, underscore (_), or backslash (\).</t>
        </is>
      </c>
    </row>
    <row r="56" ht="16" customHeight="1">
      <c r="A56" s="296" t="inlineStr">
        <is>
          <t>3. It is not possible to use any constants used in Excel as default such as R, C и RC.</t>
        </is>
      </c>
    </row>
    <row r="57" ht="16" customHeight="1">
      <c r="A57" s="296" t="inlineStr">
        <is>
          <t>4. You cannot give names that match the addressing of cells.</t>
        </is>
      </c>
    </row>
    <row r="58" ht="16" customHeight="1">
      <c r="A58" s="296" t="inlineStr">
        <is>
          <t>5. Lenghts should be less than 255 characters.</t>
        </is>
      </c>
    </row>
    <row r="59" ht="16" customHeight="1">
      <c r="A59" s="152" t="n"/>
      <c r="B59" s="152" t="n"/>
      <c r="C59" s="152" t="n"/>
      <c r="D59" s="152" t="n"/>
      <c r="E59" s="152" t="n"/>
      <c r="F59" s="152" t="n"/>
      <c r="G59" s="152" t="n"/>
      <c r="H59" s="152" t="n"/>
      <c r="I59" s="152" t="n"/>
      <c r="J59" s="152" t="n"/>
      <c r="K59" s="152" t="n"/>
    </row>
    <row r="60" ht="16" customHeight="1">
      <c r="A60" s="300" t="inlineStr">
        <is>
          <t>Examples</t>
        </is>
      </c>
      <c r="B60" s="306" t="n"/>
      <c r="C60" s="306" t="n"/>
      <c r="D60" s="306" t="n"/>
      <c r="E60" s="306" t="n"/>
      <c r="F60" s="306" t="n"/>
      <c r="G60" s="306" t="n"/>
      <c r="H60" s="306" t="n"/>
      <c r="I60" s="306" t="n"/>
      <c r="J60" s="306" t="n"/>
      <c r="K60" s="307" t="n"/>
    </row>
    <row r="61" ht="16" customHeight="1">
      <c r="A61" s="152" t="n"/>
      <c r="B61" s="152" t="n"/>
      <c r="C61" s="152" t="n"/>
      <c r="D61" s="152" t="n"/>
      <c r="E61" s="152" t="n"/>
      <c r="F61" s="152" t="n"/>
      <c r="G61" s="152" t="n"/>
      <c r="H61" s="152" t="n"/>
      <c r="I61" s="152" t="n"/>
      <c r="J61" s="152" t="n"/>
      <c r="K61" s="152" t="n"/>
    </row>
    <row r="62" ht="16" customHeight="1">
      <c r="A62" s="152" t="inlineStr">
        <is>
          <t>Recalculate your vacation spending in rubles.</t>
        </is>
      </c>
      <c r="B62" s="152" t="n"/>
      <c r="C62" s="152" t="n"/>
      <c r="D62" s="152" t="n"/>
      <c r="E62" s="152" t="n"/>
      <c r="F62" s="152" t="n"/>
      <c r="G62" s="152" t="n"/>
      <c r="H62" s="152" t="n"/>
      <c r="I62" s="152" t="n"/>
      <c r="J62" s="152" t="inlineStr">
        <is>
          <t>It is also possible to define name for non-adjacent cells</t>
        </is>
      </c>
      <c r="K62" s="152" t="n"/>
    </row>
    <row r="63" ht="16" customHeight="1">
      <c r="A63" s="152" t="inlineStr">
        <is>
          <t>Use defined names.</t>
        </is>
      </c>
      <c r="B63" s="152" t="n"/>
      <c r="C63" s="152" t="n"/>
      <c r="D63" s="152" t="n"/>
      <c r="E63" s="152" t="n"/>
      <c r="F63" s="152" t="n"/>
      <c r="G63" s="152" t="n"/>
      <c r="H63" s="152" t="n"/>
      <c r="I63" s="152" t="n"/>
      <c r="J63" s="152" t="n"/>
      <c r="K63" s="152" t="n"/>
    </row>
    <row r="64" ht="16" customHeight="1">
      <c r="A64" s="152" t="n"/>
      <c r="B64" s="152" t="n"/>
      <c r="C64" s="152" t="n"/>
      <c r="D64" s="152" t="n"/>
      <c r="E64" s="152" t="n"/>
      <c r="F64" s="152" t="n"/>
      <c r="G64" s="152" t="n"/>
      <c r="H64" s="152" t="n"/>
      <c r="I64" s="152" t="n"/>
      <c r="J64" s="60" t="inlineStr">
        <is>
          <t>Highlight duplicate values with Red and unique values with green</t>
        </is>
      </c>
      <c r="K64" s="60" t="n"/>
      <c r="L64" s="60" t="n"/>
      <c r="M64" s="60" t="n"/>
      <c r="N64" s="60" t="n"/>
      <c r="O64" s="60" t="n"/>
      <c r="P64" s="60" t="n"/>
      <c r="Q64" s="60" t="n"/>
    </row>
    <row r="65" ht="16" customHeight="1">
      <c r="A65" s="158" t="inlineStr">
        <is>
          <t xml:space="preserve">Spendings </t>
        </is>
      </c>
      <c r="B65" s="158" t="inlineStr">
        <is>
          <t>RUB</t>
        </is>
      </c>
      <c r="C65" s="158" t="inlineStr">
        <is>
          <t>USD</t>
        </is>
      </c>
      <c r="D65" s="158" t="inlineStr">
        <is>
          <t>EUR</t>
        </is>
      </c>
      <c r="E65" s="152" t="n"/>
      <c r="F65" s="152" t="n"/>
      <c r="G65" s="158" t="inlineStr">
        <is>
          <t>Date</t>
        </is>
      </c>
      <c r="H65" s="159" t="n">
        <v>45230</v>
      </c>
      <c r="I65" s="152" t="n"/>
      <c r="J65" s="160" t="inlineStr">
        <is>
          <t>Select only duplicates (hold CTRL button or press SHIFT+F8 to switch into multiple select mode)</t>
        </is>
      </c>
    </row>
    <row r="66" ht="16" customHeight="1">
      <c r="A66" s="161" t="inlineStr">
        <is>
          <t>Flight</t>
        </is>
      </c>
      <c r="B66" s="161" t="n">
        <v>40000</v>
      </c>
      <c r="C66" s="162">
        <f>B66/USD</f>
        <v/>
      </c>
      <c r="D66" s="162">
        <f>B66/EUR</f>
        <v/>
      </c>
      <c r="E66" s="152" t="n"/>
      <c r="F66" s="152" t="n"/>
      <c r="G66" s="158" t="inlineStr">
        <is>
          <t>USD</t>
        </is>
      </c>
      <c r="H66" s="163" t="n">
        <v>92.31999999999999</v>
      </c>
      <c r="I66" s="152" t="n"/>
      <c r="J66" s="243" t="n">
        <v>39</v>
      </c>
      <c r="K66" s="243" t="n">
        <v>18</v>
      </c>
      <c r="L66" s="243" t="n">
        <v>39</v>
      </c>
      <c r="M66" s="243" t="n">
        <v>59</v>
      </c>
      <c r="N66" s="243" t="n">
        <v>30</v>
      </c>
      <c r="O66" s="243" t="n">
        <v>22</v>
      </c>
      <c r="P66" s="243" t="n">
        <v>55</v>
      </c>
      <c r="Q66" s="243" t="n">
        <v>96</v>
      </c>
    </row>
    <row r="67" ht="16" customHeight="1">
      <c r="A67" s="161" t="inlineStr">
        <is>
          <t>Accommodation</t>
        </is>
      </c>
      <c r="B67" s="161" t="n">
        <v>80000</v>
      </c>
      <c r="C67" s="162">
        <f>B67/USD</f>
        <v/>
      </c>
      <c r="D67" s="162">
        <f>B67/EUR</f>
        <v/>
      </c>
      <c r="E67" s="152" t="n"/>
      <c r="F67" s="152" t="n"/>
      <c r="G67" s="158" t="inlineStr">
        <is>
          <t>EUR</t>
        </is>
      </c>
      <c r="H67" s="163" t="n">
        <v>97.54000000000001</v>
      </c>
      <c r="I67" s="152" t="n"/>
      <c r="J67" s="243" t="n">
        <v>75</v>
      </c>
      <c r="K67" s="243" t="n">
        <v>77</v>
      </c>
      <c r="L67" s="243" t="n">
        <v>21</v>
      </c>
      <c r="M67" s="243" t="n">
        <v>22</v>
      </c>
      <c r="N67" s="243" t="n">
        <v>81</v>
      </c>
      <c r="O67" s="243" t="n">
        <v>52</v>
      </c>
      <c r="P67" s="243" t="n">
        <v>18</v>
      </c>
      <c r="Q67" s="243" t="n">
        <v>80</v>
      </c>
    </row>
    <row r="68" ht="16" customHeight="1">
      <c r="A68" s="161" t="inlineStr">
        <is>
          <t>Food</t>
        </is>
      </c>
      <c r="B68" s="161" t="n">
        <v>25000</v>
      </c>
      <c r="C68" s="162">
        <f>B68/USD</f>
        <v/>
      </c>
      <c r="D68" s="162">
        <f>B68/EUR</f>
        <v/>
      </c>
      <c r="E68" s="152" t="n"/>
      <c r="F68" s="152" t="n"/>
      <c r="I68" s="152" t="n"/>
      <c r="J68" s="243" t="n">
        <v>5</v>
      </c>
      <c r="K68" s="243" t="n">
        <v>23</v>
      </c>
      <c r="L68" s="243" t="n">
        <v>24</v>
      </c>
      <c r="M68" s="243" t="n">
        <v>85</v>
      </c>
      <c r="N68" s="243" t="n">
        <v>52</v>
      </c>
      <c r="O68" s="243" t="n">
        <v>10</v>
      </c>
      <c r="P68" s="243" t="n">
        <v>10</v>
      </c>
      <c r="Q68" s="243" t="n">
        <v>4</v>
      </c>
    </row>
    <row r="69" ht="16" customHeight="1">
      <c r="A69" s="161" t="inlineStr">
        <is>
          <t>Excursions</t>
        </is>
      </c>
      <c r="B69" s="161" t="n">
        <v>50000</v>
      </c>
      <c r="C69" s="162">
        <f>B69/USD</f>
        <v/>
      </c>
      <c r="D69" s="162">
        <f>B69/EUR</f>
        <v/>
      </c>
      <c r="E69" s="152" t="n"/>
      <c r="F69" s="152" t="n"/>
      <c r="G69" s="152" t="n"/>
      <c r="H69" s="152" t="n"/>
      <c r="I69" s="152" t="n"/>
      <c r="J69" s="243" t="n">
        <v>86</v>
      </c>
      <c r="K69" s="243" t="n">
        <v>100</v>
      </c>
      <c r="L69" s="243" t="n">
        <v>83</v>
      </c>
      <c r="M69" s="243" t="n">
        <v>60</v>
      </c>
      <c r="N69" s="243" t="n">
        <v>26</v>
      </c>
      <c r="O69" s="243" t="n">
        <v>83</v>
      </c>
      <c r="P69" s="243" t="n">
        <v>91</v>
      </c>
      <c r="Q69" s="243" t="n">
        <v>56</v>
      </c>
    </row>
    <row r="70" ht="16" customHeight="1">
      <c r="A70" s="161" t="inlineStr">
        <is>
          <t>Souvenirs</t>
        </is>
      </c>
      <c r="B70" s="161" t="n">
        <v>3000</v>
      </c>
      <c r="C70" s="162">
        <f>B70/USD</f>
        <v/>
      </c>
      <c r="D70" s="162">
        <f>B70/EUR</f>
        <v/>
      </c>
      <c r="E70" s="152" t="n"/>
      <c r="F70" s="152" t="n"/>
      <c r="G70" s="152" t="n"/>
      <c r="H70" s="152" t="n"/>
      <c r="I70" s="152" t="n"/>
      <c r="J70" s="243" t="n">
        <v>88</v>
      </c>
      <c r="K70" s="243" t="n">
        <v>77</v>
      </c>
      <c r="L70" s="243" t="n">
        <v>45</v>
      </c>
      <c r="M70" s="243" t="n">
        <v>25</v>
      </c>
      <c r="N70" s="243" t="n">
        <v>12</v>
      </c>
      <c r="O70" s="243" t="n">
        <v>45</v>
      </c>
      <c r="P70" s="243" t="n">
        <v>66</v>
      </c>
      <c r="Q70" s="243" t="n">
        <v>59</v>
      </c>
    </row>
    <row r="71" ht="16" customHeight="1">
      <c r="A71" s="161" t="inlineStr">
        <is>
          <t>Entertainment</t>
        </is>
      </c>
      <c r="B71" s="161" t="n">
        <v>55000</v>
      </c>
      <c r="C71" s="162">
        <f>B71/USD</f>
        <v/>
      </c>
      <c r="D71" s="162">
        <f>B71/EUR</f>
        <v/>
      </c>
      <c r="E71" s="152" t="n"/>
      <c r="F71" s="152" t="n"/>
      <c r="G71" s="152" t="n"/>
      <c r="H71" s="152" t="n"/>
      <c r="I71" s="152" t="n"/>
      <c r="J71" s="243" t="n">
        <v>66</v>
      </c>
      <c r="K71" s="243" t="n">
        <v>62</v>
      </c>
      <c r="L71" s="243" t="n">
        <v>51</v>
      </c>
      <c r="M71" s="243" t="n">
        <v>96</v>
      </c>
      <c r="N71" s="243" t="n">
        <v>78</v>
      </c>
      <c r="O71" s="243" t="n">
        <v>73</v>
      </c>
      <c r="P71" s="243" t="n">
        <v>39</v>
      </c>
      <c r="Q71" s="243" t="n">
        <v>79</v>
      </c>
    </row>
    <row r="72" ht="16" customHeight="1">
      <c r="A72" s="164" t="inlineStr">
        <is>
          <t>Total:</t>
        </is>
      </c>
      <c r="B72" s="222">
        <f>SUM(B66:B71)</f>
        <v/>
      </c>
      <c r="C72" s="222">
        <f>SUM(C66:C71)</f>
        <v/>
      </c>
      <c r="D72" s="222">
        <f>SUM(D66:D71)</f>
        <v/>
      </c>
      <c r="E72" s="152" t="n"/>
      <c r="F72" s="152" t="n"/>
      <c r="G72" s="152" t="n"/>
      <c r="H72" s="152" t="n"/>
      <c r="I72" s="152" t="n"/>
      <c r="J72" s="243" t="n">
        <v>92</v>
      </c>
      <c r="K72" s="243" t="n">
        <v>61</v>
      </c>
      <c r="L72" s="243" t="n">
        <v>53</v>
      </c>
      <c r="M72" s="243" t="n">
        <v>49</v>
      </c>
      <c r="N72" s="243" t="n">
        <v>99</v>
      </c>
      <c r="O72" s="243" t="n">
        <v>72</v>
      </c>
      <c r="P72" s="243" t="n">
        <v>56</v>
      </c>
      <c r="Q72" s="243" t="n">
        <v>95</v>
      </c>
    </row>
    <row r="73">
      <c r="J73" s="243" t="n">
        <v>31</v>
      </c>
      <c r="K73" s="243" t="n">
        <v>68</v>
      </c>
      <c r="L73" s="243" t="n">
        <v>88</v>
      </c>
      <c r="M73" s="243" t="n">
        <v>35</v>
      </c>
      <c r="N73" s="243" t="n">
        <v>2</v>
      </c>
      <c r="O73" s="243" t="n">
        <v>50</v>
      </c>
      <c r="P73" s="243" t="n">
        <v>19</v>
      </c>
      <c r="Q73" s="243" t="n">
        <v>32</v>
      </c>
    </row>
    <row r="75">
      <c r="J75" s="2" t="n"/>
      <c r="K75" s="2" t="inlineStr">
        <is>
          <t>SUM</t>
        </is>
      </c>
      <c r="L75" s="2" t="inlineStr">
        <is>
          <t>AVERAGE</t>
        </is>
      </c>
    </row>
    <row r="76">
      <c r="J76" s="221" t="inlineStr">
        <is>
          <t>Duplicates</t>
        </is>
      </c>
      <c r="K76" s="166">
        <f>SUM(Duplicates)</f>
        <v/>
      </c>
      <c r="L76" s="166">
        <f>AVERAGE(Duplicates)</f>
        <v/>
      </c>
    </row>
    <row r="77">
      <c r="J77" s="221" t="inlineStr">
        <is>
          <t>Unique values</t>
        </is>
      </c>
      <c r="K77" s="166">
        <f>SUM(Unique_values)</f>
        <v/>
      </c>
      <c r="L77" s="166">
        <f>AVERAGE(Unique_values)</f>
        <v/>
      </c>
    </row>
  </sheetData>
  <mergeCells count="24">
    <mergeCell ref="A58:K58"/>
    <mergeCell ref="A60:K60"/>
    <mergeCell ref="A1:K1"/>
    <mergeCell ref="A6:K6"/>
    <mergeCell ref="B45:K45"/>
    <mergeCell ref="A54:K54"/>
    <mergeCell ref="A25:K25"/>
    <mergeCell ref="B47:K47"/>
    <mergeCell ref="A56:K56"/>
    <mergeCell ref="B46:K46"/>
    <mergeCell ref="A12:K12"/>
    <mergeCell ref="A50:K50"/>
    <mergeCell ref="A21:K21"/>
    <mergeCell ref="A55:K55"/>
    <mergeCell ref="A57:K57"/>
    <mergeCell ref="B48:K48"/>
    <mergeCell ref="A17:K17"/>
    <mergeCell ref="A23:K23"/>
    <mergeCell ref="A8:K8"/>
    <mergeCell ref="A22:K22"/>
    <mergeCell ref="B44:K44"/>
    <mergeCell ref="A19:K19"/>
    <mergeCell ref="A52:K52"/>
    <mergeCell ref="A10:K10"/>
  </mergeCells>
  <conditionalFormatting sqref="J66:Q73">
    <cfRule type="expression" priority="1" dxfId="3">
      <formula>COUNTIF($J$66:$Q$73,J66)&gt;1</formula>
    </cfRule>
    <cfRule type="expression" priority="2" dxfId="4">
      <formula>COUNTIF($J$66:$Q$73,J66)=1</formula>
    </cfRule>
  </conditionalFormatting>
  <hyperlinks>
    <hyperlink xmlns:r="http://schemas.openxmlformats.org/officeDocument/2006/relationships" ref="A50" display="Benefits of named ranges" r:id="rId1"/>
  </hyperlinks>
  <pageMargins left="0.7" right="0.7" top="0.75" bottom="0.75" header="0.3" footer="0.3"/>
  <pageSetup orientation="portrait" paperSize="9"/>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Александра</dc:creator>
  <dcterms:created xsi:type="dcterms:W3CDTF">2015-06-05T18:17:20Z</dcterms:created>
  <dcterms:modified xsi:type="dcterms:W3CDTF">2026-10-24T05:16:44Z</dcterms:modified>
  <cp:lastModifiedBy>Павлова Екатерина Валерьевна</cp:lastModifiedBy>
</cp:coreProperties>
</file>